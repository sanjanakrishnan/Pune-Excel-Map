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512" codeName="{51196F13-6AD0-C1B8-E2B4-A1F9AE17003E}"/>
  <workbookPr showInkAnnotation="0" codeName="ThisWorkbook"/>
  <mc:AlternateContent xmlns:mc="http://schemas.openxmlformats.org/markup-compatibility/2006">
    <mc:Choice Requires="x15">
      <x15ac:absPath xmlns:x15ac="http://schemas.microsoft.com/office/spreadsheetml/2010/11/ac" url="/Users/sanjana/Documents/Interests/Unpivot- datameet/Pune Map/"/>
    </mc:Choice>
  </mc:AlternateContent>
  <xr:revisionPtr revIDLastSave="0" documentId="13_ncr:1_{8EF99AF8-F64F-3440-87C1-D7DD7A3FE1BD}" xr6:coauthVersionLast="43" xr6:coauthVersionMax="43" xr10:uidLastSave="{00000000-0000-0000-0000-000000000000}"/>
  <bookViews>
    <workbookView xWindow="0" yWindow="0" windowWidth="28800" windowHeight="18000" tabRatio="406" activeTab="1" xr2:uid="{00000000-000D-0000-FFFF-FFFF00000000}"/>
  </bookViews>
  <sheets>
    <sheet name="How to" sheetId="6" r:id="rId1"/>
    <sheet name="Dashboard" sheetId="7" r:id="rId2"/>
    <sheet name="DataEntry" sheetId="4" r:id="rId3"/>
    <sheet name="Bubble plot" sheetId="9" r:id="rId4"/>
    <sheet name="Calculation" sheetId="3" r:id="rId5"/>
    <sheet name="Vocabulary" sheetId="2" r:id="rId6"/>
  </sheets>
  <definedNames>
    <definedName name="BinArray_1">Calculation!$N$12:$N$17</definedName>
    <definedName name="DataEntryColumnCount">Calculation!$V$4</definedName>
    <definedName name="DataEntryTitleList">OFFSET(DataEntry!$E$3,0,0,1,DataEntryColumnCount)</definedName>
    <definedName name="KeyOptionValue">Calculation!$O$8</definedName>
    <definedName name="Map1Data">MapDataTbl[]</definedName>
    <definedName name="_xlnm.Print_Area" localSheetId="1">Dashboard!$D$1:$K$52</definedName>
    <definedName name="_xlnm.Print_Area" localSheetId="0">'How to'!$A$1:$E$16</definedName>
    <definedName name="SelectedColor">Calculation!$AB$3</definedName>
    <definedName name="SelectedDataColumn">Dashboard!$B$3</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O17" i="3" l="1"/>
  <c r="O16" i="3"/>
  <c r="O15" i="3"/>
  <c r="O13" i="3"/>
  <c r="O14" i="3"/>
  <c r="N17" i="3"/>
  <c r="N16" i="3"/>
  <c r="N15" i="3"/>
  <c r="N14" i="3"/>
  <c r="V5" i="3"/>
  <c r="D12" i="3"/>
  <c r="C13" i="7"/>
  <c r="D17" i="3"/>
  <c r="C18" i="7"/>
  <c r="D11" i="3"/>
  <c r="C12" i="7"/>
  <c r="D18" i="3"/>
  <c r="C19" i="7"/>
  <c r="D19" i="3"/>
  <c r="C20" i="7"/>
  <c r="D16" i="3"/>
  <c r="C17" i="7"/>
  <c r="O12" i="3"/>
  <c r="D10" i="3"/>
  <c r="C11" i="7"/>
  <c r="D5" i="3"/>
  <c r="C6" i="7"/>
  <c r="B12" i="7"/>
  <c r="S8" i="3"/>
  <c r="B14" i="7"/>
  <c r="B6" i="7"/>
  <c r="B7" i="7"/>
  <c r="B8" i="7"/>
  <c r="B9" i="7"/>
  <c r="B10" i="7"/>
  <c r="B11" i="7"/>
  <c r="B13" i="7"/>
  <c r="B15" i="7"/>
  <c r="B16" i="7"/>
  <c r="B17" i="7"/>
  <c r="B18" i="7"/>
  <c r="B19" i="7"/>
  <c r="B20" i="7"/>
  <c r="B21" i="7"/>
  <c r="B22" i="7"/>
  <c r="B23" i="7"/>
  <c r="B24" i="7"/>
  <c r="B25" i="7"/>
  <c r="B26" i="7"/>
  <c r="B27" i="7"/>
  <c r="B28" i="7"/>
  <c r="B29" i="7"/>
  <c r="B30" i="7"/>
  <c r="B31" i="7"/>
  <c r="B32" i="7"/>
  <c r="B33" i="7"/>
  <c r="B34" i="7"/>
  <c r="B35" i="7"/>
  <c r="B36" i="7"/>
  <c r="B37" i="7"/>
  <c r="B38" i="7"/>
  <c r="B39" i="7"/>
  <c r="B40" i="7"/>
  <c r="B41" i="7"/>
  <c r="B42" i="7"/>
  <c r="B43" i="7"/>
  <c r="B44" i="7"/>
  <c r="B45" i="7"/>
  <c r="D52" i="7"/>
  <c r="D51" i="7"/>
  <c r="J45" i="7"/>
  <c r="D48" i="7"/>
  <c r="D49" i="7"/>
  <c r="E7" i="7"/>
  <c r="E6" i="7"/>
  <c r="E5" i="7"/>
  <c r="B5" i="7"/>
  <c r="S4" i="3"/>
  <c r="S5" i="3"/>
  <c r="S9" i="3"/>
  <c r="Q9" i="3"/>
  <c r="Q8" i="3"/>
  <c r="Q7" i="3"/>
  <c r="Q6" i="3"/>
  <c r="Q5" i="3"/>
  <c r="S7" i="3"/>
  <c r="S6" i="3"/>
  <c r="Q4" i="3"/>
  <c r="V4" i="3"/>
  <c r="D20" i="3"/>
  <c r="C21" i="7"/>
  <c r="D24" i="3"/>
  <c r="C25" i="7"/>
  <c r="D28" i="3"/>
  <c r="C29" i="7"/>
  <c r="D32" i="3"/>
  <c r="C33" i="7"/>
  <c r="D36" i="3"/>
  <c r="C37" i="7"/>
  <c r="D40" i="3"/>
  <c r="C41" i="7"/>
  <c r="D44" i="3"/>
  <c r="C45" i="7"/>
  <c r="D21" i="3"/>
  <c r="C22" i="7"/>
  <c r="D25" i="3"/>
  <c r="C26" i="7"/>
  <c r="D29" i="3"/>
  <c r="C30" i="7"/>
  <c r="D33" i="3"/>
  <c r="C34" i="7"/>
  <c r="D37" i="3"/>
  <c r="C38" i="7"/>
  <c r="D41" i="3"/>
  <c r="C42" i="7"/>
  <c r="D22" i="3"/>
  <c r="C23" i="7"/>
  <c r="D26" i="3"/>
  <c r="C27" i="7"/>
  <c r="D30" i="3"/>
  <c r="C31" i="7"/>
  <c r="D34" i="3"/>
  <c r="C35" i="7"/>
  <c r="D38" i="3"/>
  <c r="C39" i="7"/>
  <c r="D42" i="3"/>
  <c r="C43" i="7"/>
  <c r="D23" i="3"/>
  <c r="C24" i="7"/>
  <c r="D27" i="3"/>
  <c r="C28" i="7"/>
  <c r="D31" i="3"/>
  <c r="C32" i="7"/>
  <c r="D35" i="3"/>
  <c r="C36" i="7"/>
  <c r="D39" i="3"/>
  <c r="C40" i="7"/>
  <c r="D43" i="3"/>
  <c r="C44" i="7"/>
  <c r="D4" i="3"/>
  <c r="D15" i="3"/>
  <c r="C16" i="7"/>
  <c r="D7" i="3"/>
  <c r="C8" i="7"/>
  <c r="D13" i="3"/>
  <c r="C14" i="7"/>
  <c r="D9" i="3"/>
  <c r="C10" i="7"/>
  <c r="W5" i="3"/>
  <c r="H2" i="7"/>
  <c r="D14" i="3"/>
  <c r="C15" i="7"/>
  <c r="D8" i="3"/>
  <c r="C9" i="7"/>
  <c r="D6" i="3"/>
  <c r="C7" i="7"/>
  <c r="O5" i="3"/>
  <c r="E17" i="3"/>
  <c r="E26" i="3"/>
  <c r="E36" i="3"/>
  <c r="E43" i="3"/>
  <c r="E25" i="3"/>
  <c r="E29" i="3"/>
  <c r="E32" i="3"/>
  <c r="E39" i="3"/>
  <c r="E42" i="3"/>
  <c r="E44" i="3"/>
  <c r="E28" i="3"/>
  <c r="E33" i="3"/>
  <c r="E35" i="3"/>
  <c r="E19" i="3"/>
  <c r="E38" i="3"/>
  <c r="E22" i="3"/>
  <c r="E41" i="3"/>
  <c r="E20" i="3"/>
  <c r="E27" i="3"/>
  <c r="E30" i="3"/>
  <c r="E23" i="3"/>
  <c r="E40" i="3"/>
  <c r="E24" i="3"/>
  <c r="E21" i="3"/>
  <c r="E31" i="3"/>
  <c r="E37" i="3"/>
  <c r="E34" i="3"/>
  <c r="E18" i="3"/>
  <c r="K20" i="3"/>
  <c r="K43" i="3"/>
  <c r="K30" i="3"/>
  <c r="K39" i="3"/>
  <c r="K23" i="3"/>
  <c r="K42" i="3"/>
  <c r="K26" i="3"/>
  <c r="K36" i="3"/>
  <c r="K27" i="3"/>
  <c r="K29" i="3"/>
  <c r="K32" i="3"/>
  <c r="K44" i="3"/>
  <c r="K28" i="3"/>
  <c r="K33" i="3"/>
  <c r="K35" i="3"/>
  <c r="K19" i="3"/>
  <c r="K38" i="3"/>
  <c r="K22" i="3"/>
  <c r="K41" i="3"/>
  <c r="K25" i="3"/>
  <c r="K40" i="3"/>
  <c r="K24" i="3"/>
  <c r="K21" i="3"/>
  <c r="K31" i="3"/>
  <c r="K37" i="3"/>
  <c r="K34" i="3"/>
  <c r="K18" i="3"/>
  <c r="P12" i="3" a="1"/>
  <c r="C5" i="7"/>
  <c r="E4" i="3"/>
  <c r="K4" i="3"/>
  <c r="E11" i="3"/>
  <c r="K11" i="3"/>
  <c r="E7" i="3"/>
  <c r="K7" i="3"/>
  <c r="E15" i="3"/>
  <c r="K15" i="3"/>
  <c r="E9" i="3"/>
  <c r="K9" i="3"/>
  <c r="K17" i="3"/>
  <c r="E5" i="3"/>
  <c r="K5" i="3"/>
  <c r="E13" i="3"/>
  <c r="K13" i="3"/>
  <c r="E10" i="3"/>
  <c r="K10" i="3"/>
  <c r="O4" i="3" a="1"/>
  <c r="O4" i="3"/>
  <c r="E6" i="3"/>
  <c r="K6" i="3"/>
  <c r="E14" i="3"/>
  <c r="K14" i="3"/>
  <c r="E8" i="3"/>
  <c r="K8" i="3"/>
  <c r="E12" i="3"/>
  <c r="K12" i="3"/>
  <c r="E16" i="3"/>
  <c r="K16" i="3"/>
  <c r="O7" i="3"/>
  <c r="P12" i="3"/>
  <c r="R4" i="3"/>
  <c r="P16" i="3"/>
  <c r="R8" i="3"/>
  <c r="P13" i="3"/>
  <c r="R5" i="3"/>
  <c r="P17" i="3"/>
  <c r="R9" i="3"/>
  <c r="P14" i="3"/>
  <c r="R6" i="3"/>
  <c r="P15" i="3"/>
  <c r="F20" i="3"/>
  <c r="F24" i="3"/>
  <c r="F28" i="3"/>
  <c r="F32" i="3"/>
  <c r="F36" i="3"/>
  <c r="F40" i="3"/>
  <c r="F44" i="3"/>
  <c r="F19" i="3"/>
  <c r="F31" i="3"/>
  <c r="F43" i="3"/>
  <c r="F23" i="3"/>
  <c r="F35" i="3"/>
  <c r="F27" i="3"/>
  <c r="F39" i="3"/>
  <c r="F30" i="3"/>
  <c r="F38" i="3"/>
  <c r="F34" i="3"/>
  <c r="F18" i="3"/>
  <c r="F22" i="3"/>
  <c r="F21" i="3"/>
  <c r="F42" i="3"/>
  <c r="F26" i="3"/>
  <c r="F33" i="3"/>
  <c r="F37" i="3"/>
  <c r="F29" i="3"/>
  <c r="F25" i="3"/>
  <c r="F41" i="3"/>
  <c r="R7" i="3"/>
  <c r="F12" i="3"/>
  <c r="F14" i="3"/>
  <c r="O6" i="3"/>
  <c r="F16" i="3"/>
  <c r="F8" i="3"/>
  <c r="F6" i="3"/>
  <c r="F17" i="3"/>
  <c r="F13" i="3"/>
  <c r="F9" i="3"/>
  <c r="F5" i="3"/>
  <c r="F4" i="3"/>
  <c r="F11" i="3"/>
  <c r="F7" i="3"/>
  <c r="F15" i="3"/>
  <c r="F10" i="3"/>
  <c r="H16" i="3"/>
  <c r="H20" i="3"/>
  <c r="H24" i="3"/>
  <c r="H28" i="3"/>
  <c r="H32" i="3"/>
  <c r="H36" i="3"/>
  <c r="H40" i="3"/>
  <c r="H44" i="3"/>
  <c r="H18" i="3"/>
  <c r="H30" i="3"/>
  <c r="H38" i="3"/>
  <c r="H19" i="3"/>
  <c r="H27" i="3"/>
  <c r="H35" i="3"/>
  <c r="H43" i="3"/>
  <c r="H17" i="3"/>
  <c r="H21" i="3"/>
  <c r="H25" i="3"/>
  <c r="H29" i="3"/>
  <c r="H33" i="3"/>
  <c r="H37" i="3"/>
  <c r="H41" i="3"/>
  <c r="H22" i="3"/>
  <c r="H26" i="3"/>
  <c r="H34" i="3"/>
  <c r="H42" i="3"/>
  <c r="H23" i="3"/>
  <c r="H31" i="3"/>
  <c r="H39" i="3"/>
  <c r="I18" i="3"/>
  <c r="I22" i="3"/>
  <c r="I26" i="3"/>
  <c r="I30" i="3"/>
  <c r="I34" i="3"/>
  <c r="I38" i="3"/>
  <c r="I42" i="3"/>
  <c r="I29" i="3"/>
  <c r="I41" i="3"/>
  <c r="I19" i="3"/>
  <c r="I23" i="3"/>
  <c r="I27" i="3"/>
  <c r="I31" i="3"/>
  <c r="I35" i="3"/>
  <c r="I39" i="3"/>
  <c r="I43" i="3"/>
  <c r="I25" i="3"/>
  <c r="I37" i="3"/>
  <c r="I20" i="3"/>
  <c r="I24" i="3"/>
  <c r="I28" i="3"/>
  <c r="I32" i="3"/>
  <c r="I36" i="3"/>
  <c r="I40" i="3"/>
  <c r="I44" i="3"/>
  <c r="I21" i="3"/>
  <c r="I33" i="3"/>
  <c r="H6" i="3"/>
  <c r="R15" i="3"/>
  <c r="H10" i="3"/>
  <c r="H14" i="3"/>
  <c r="I8" i="3"/>
  <c r="H7" i="3"/>
  <c r="H11" i="3"/>
  <c r="H15" i="3"/>
  <c r="I5" i="3"/>
  <c r="I9" i="3"/>
  <c r="I13" i="3"/>
  <c r="I17" i="3"/>
  <c r="I6" i="3"/>
  <c r="I12" i="3"/>
  <c r="I16" i="3"/>
  <c r="I14" i="3"/>
  <c r="H4" i="3"/>
  <c r="R13" i="3"/>
  <c r="H8" i="3"/>
  <c r="H12" i="3"/>
  <c r="H5" i="3"/>
  <c r="R14" i="3"/>
  <c r="H9" i="3"/>
  <c r="H13" i="3"/>
  <c r="I7" i="3"/>
  <c r="I11" i="3"/>
  <c r="I15" i="3"/>
  <c r="I4" i="3"/>
  <c r="I10" i="3"/>
  <c r="J21" i="3"/>
  <c r="J24" i="3"/>
  <c r="J31" i="3"/>
  <c r="J29" i="3"/>
  <c r="J38" i="3"/>
  <c r="J22" i="3"/>
  <c r="J40" i="3"/>
  <c r="J36" i="3"/>
  <c r="J20" i="3"/>
  <c r="J37" i="3"/>
  <c r="J43" i="3"/>
  <c r="J27" i="3"/>
  <c r="J34" i="3"/>
  <c r="J18" i="3"/>
  <c r="J25" i="3"/>
  <c r="J39" i="3"/>
  <c r="J23" i="3"/>
  <c r="J30" i="3"/>
  <c r="J32" i="3"/>
  <c r="J33" i="3"/>
  <c r="J44" i="3"/>
  <c r="J28" i="3"/>
  <c r="J35" i="3"/>
  <c r="J19" i="3"/>
  <c r="J41" i="3"/>
  <c r="J42" i="3"/>
  <c r="J26" i="3"/>
  <c r="S13" i="3"/>
  <c r="J4" i="3"/>
  <c r="J10" i="3"/>
  <c r="J15" i="3"/>
  <c r="S16" i="3"/>
  <c r="J7" i="3"/>
  <c r="J16" i="3"/>
  <c r="S15" i="3"/>
  <c r="J6" i="3"/>
  <c r="J13" i="3"/>
  <c r="S14" i="3"/>
  <c r="J5" i="3"/>
  <c r="J8" i="3"/>
  <c r="J11" i="3"/>
  <c r="J14" i="3"/>
  <c r="J12" i="3"/>
  <c r="J17" i="3"/>
  <c r="J9" i="3"/>
</calcChain>
</file>

<file path=xl/sharedStrings.xml><?xml version="1.0" encoding="utf-8"?>
<sst xmlns="http://schemas.openxmlformats.org/spreadsheetml/2006/main" count="267" uniqueCount="128">
  <si>
    <t>R</t>
  </si>
  <si>
    <t>G</t>
  </si>
  <si>
    <t>B</t>
  </si>
  <si>
    <t>Color</t>
  </si>
  <si>
    <t>sample color</t>
  </si>
  <si>
    <t>DO NOT ADD MORE ROWS TO THIS TABLE</t>
  </si>
  <si>
    <t>PCODE</t>
  </si>
  <si>
    <t>LOCATION</t>
  </si>
  <si>
    <t>Range Color</t>
  </si>
  <si>
    <t>Value</t>
  </si>
  <si>
    <t>Legend</t>
  </si>
  <si>
    <t>Frequency</t>
  </si>
  <si>
    <t>Delta</t>
  </si>
  <si>
    <t>Max :</t>
  </si>
  <si>
    <t>Min :</t>
  </si>
  <si>
    <t>Median</t>
  </si>
  <si>
    <t>Map Key</t>
  </si>
  <si>
    <t>Key Option</t>
  </si>
  <si>
    <t>Location</t>
  </si>
  <si>
    <t>Nb Columns</t>
  </si>
  <si>
    <t>Data Entry</t>
  </si>
  <si>
    <t>Selected column</t>
  </si>
  <si>
    <t>Bins calculation</t>
  </si>
  <si>
    <t>Bins</t>
  </si>
  <si>
    <t>Select the data in the list</t>
  </si>
  <si>
    <t>Value+</t>
  </si>
  <si>
    <t>Rank</t>
  </si>
  <si>
    <t>Position</t>
  </si>
  <si>
    <t>Top Location</t>
  </si>
  <si>
    <t>Top Value</t>
  </si>
  <si>
    <t>Keep always this column the latest one of the table</t>
  </si>
  <si>
    <t>%ofTotal</t>
  </si>
  <si>
    <t>Top 3</t>
  </si>
  <si>
    <t>Others</t>
  </si>
  <si>
    <t>Selected Ramp</t>
  </si>
  <si>
    <t>cumulative</t>
  </si>
  <si>
    <t>last 21 days</t>
  </si>
  <si>
    <t>Red</t>
  </si>
  <si>
    <t xml:space="preserve">Last update: </t>
  </si>
  <si>
    <t>1. Enable the macros before starting</t>
  </si>
  <si>
    <t>Intervals</t>
  </si>
  <si>
    <t>Bins Width</t>
  </si>
  <si>
    <t>WARNING : Don't delete or modify any other field</t>
  </si>
  <si>
    <t>Data entry</t>
  </si>
  <si>
    <t xml:space="preserve">Date: </t>
  </si>
  <si>
    <t xml:space="preserve">Source doc.: </t>
  </si>
  <si>
    <t>Sources:</t>
  </si>
  <si>
    <t xml:space="preserve">Warning: </t>
  </si>
  <si>
    <t>Do not delete or modify any row of the document</t>
  </si>
  <si>
    <t>example</t>
  </si>
  <si>
    <t>Alerts</t>
  </si>
  <si>
    <t xml:space="preserve">Country: </t>
  </si>
  <si>
    <t>Country:</t>
  </si>
  <si>
    <t>Map Information</t>
  </si>
  <si>
    <t>Place:</t>
  </si>
  <si>
    <t>Legend title:</t>
  </si>
  <si>
    <t>How to use the MSF Excel Mapping Tools</t>
  </si>
  <si>
    <t>Created by:</t>
  </si>
  <si>
    <t>Author:</t>
  </si>
  <si>
    <t>email:</t>
  </si>
  <si>
    <t>Edit titles, insert data and map information</t>
  </si>
  <si>
    <t>Kalas-Dhanori</t>
  </si>
  <si>
    <t>Phule Nagar- Nagpur Chawl</t>
  </si>
  <si>
    <t>Viman Nagar- Somnath Nagar</t>
  </si>
  <si>
    <t>Kharadi-Chandan Nagar</t>
  </si>
  <si>
    <t>Vadgaon Sheri- Kalyani Nagar</t>
  </si>
  <si>
    <t>Yerwada</t>
  </si>
  <si>
    <t>Pune University- Wakadewadi</t>
  </si>
  <si>
    <t>Aundh- Bopodi</t>
  </si>
  <si>
    <t>Baner- Balewadi- Pashan</t>
  </si>
  <si>
    <t>Bavdhan- Kothrud Depot</t>
  </si>
  <si>
    <t>Rambaug Colony- Shivtirth Nagar</t>
  </si>
  <si>
    <t>Mayur Colony- Dahanukar Colony</t>
  </si>
  <si>
    <t>Erandwana- Happy Colony</t>
  </si>
  <si>
    <t>Deccan Gymkhana- Model Colony</t>
  </si>
  <si>
    <t>Shanivar Peth- Sadashiv Peth</t>
  </si>
  <si>
    <t>Kasba Peth- Somwar Peth</t>
  </si>
  <si>
    <t>Rasta Peth- Ravivar Peth</t>
  </si>
  <si>
    <t>Kahdakmal Aali- Mahatma Phule Peth</t>
  </si>
  <si>
    <t>Lohiya Nagar- Kasewadi</t>
  </si>
  <si>
    <t>Tadiwala Road- Sasoon Hospital</t>
  </si>
  <si>
    <t>Koregaon Park- Ghorpadi</t>
  </si>
  <si>
    <t>Mundhwa- Magarpatta City</t>
  </si>
  <si>
    <t>Hadapsar Gaothan- Satavwadi</t>
  </si>
  <si>
    <t>Ramtekadi- Sayyad Nagar</t>
  </si>
  <si>
    <t>Vanwadi</t>
  </si>
  <si>
    <t>Mahammadwadi- Kausar Baug</t>
  </si>
  <si>
    <t>Kondhwa Khurd- Meetha Nagar</t>
  </si>
  <si>
    <t>Salisbury Park- Maharshi Nagar</t>
  </si>
  <si>
    <t>Navi Peth- Parvati</t>
  </si>
  <si>
    <t>Janata Vasahat- Dattawadi</t>
  </si>
  <si>
    <t>Karve Nagar</t>
  </si>
  <si>
    <t>Warje-Malwadi</t>
  </si>
  <si>
    <t>Vadgaon Dhayari- Vadgaon Budruk</t>
  </si>
  <si>
    <t>Suncity- Hingane Khurd</t>
  </si>
  <si>
    <t>Sahakar Nagar- Padmavati</t>
  </si>
  <si>
    <t>Market Yard- Lower Indira Nagar</t>
  </si>
  <si>
    <t>Uppar Super Indira Nagar</t>
  </si>
  <si>
    <t>Balaji Nagar- Rajiv Gandhi Nagar</t>
  </si>
  <si>
    <t>Dhankawadi- Ambegaon Pathar</t>
  </si>
  <si>
    <t>Ambegaon Datta Nagar- Katraj Gaothan</t>
  </si>
  <si>
    <t>Kondhawa Budruk- Yewalewadi</t>
  </si>
  <si>
    <t>India</t>
  </si>
  <si>
    <t>Pune</t>
  </si>
  <si>
    <t>Prabhag #</t>
  </si>
  <si>
    <t>https://blog.cartong.org/2015/11/20/choropleth-maps-excel/</t>
  </si>
  <si>
    <t xml:space="preserve">Edited for Pune: </t>
  </si>
  <si>
    <t>Sanjana, Datameet Pune</t>
  </si>
  <si>
    <t>2. Do NOT edit data from the [Dashboard] sheet, go to to the [DataEntry] sheet to edit the data</t>
  </si>
  <si>
    <t>3. Edit the source, legend title and other details in the [DataEntry] sheet</t>
  </si>
  <si>
    <t>4. Enter manually each data or copy/paste the values into the table, can insert multiple values</t>
  </si>
  <si>
    <t>5. Go to the [Dashboard] sheet, use the selector to choose your data</t>
  </si>
  <si>
    <t>6. Update the map</t>
  </si>
  <si>
    <t>7. Unhide the [Calculation] and [Vocabulory] sheet to edit the frequency bins and colours respectively, the default range is set between 0 and 100</t>
  </si>
  <si>
    <t>8. To edit the bin width, edit the bin width table in the [Calculation] sheet</t>
  </si>
  <si>
    <t>9. To change colours, edit the RGB values in the [Vocabulory] sheet</t>
  </si>
  <si>
    <t>10. Update the table in the [Dashboard] sheet</t>
  </si>
  <si>
    <t>11. Print or copy the map</t>
  </si>
  <si>
    <t xml:space="preserve">Template and source code: </t>
  </si>
  <si>
    <t>data prep</t>
  </si>
  <si>
    <t>x</t>
  </si>
  <si>
    <t>y</t>
  </si>
  <si>
    <t>Ward</t>
  </si>
  <si>
    <t>Prabhag number</t>
  </si>
  <si>
    <t>Number of trees percapita</t>
  </si>
  <si>
    <t>Pune Open Data Portal</t>
  </si>
  <si>
    <t>9th August 2019</t>
  </si>
  <si>
    <t>Number of seats- Shiv Sena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</si>
</sst>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0"/>
    <numFmt numFmtId="167" formatCode="0.0000"/>
  </numFmts>
  <fonts count="19" x14ac:knownFonts="1">
    <font>
      <sz val="11"/>
      <color theme="1"/>
      <name val="Arial"/>
      <family val="2"/>
    </font>
    <font>
      <sz val="10"/>
      <name val="Arial"/>
      <family val="2"/>
    </font>
    <font>
      <sz val="10"/>
      <color theme="0"/>
      <name val="Arial"/>
      <family val="2"/>
    </font>
    <font>
      <sz val="10"/>
      <color theme="1" tint="0.34998626667073579"/>
      <name val="Arial"/>
      <family val="2"/>
    </font>
    <font>
      <sz val="11"/>
      <color theme="1" tint="0.249977111117893"/>
      <name val="Arial"/>
      <family val="2"/>
    </font>
    <font>
      <sz val="9"/>
      <color theme="1" tint="0.249977111117893"/>
      <name val="Arial"/>
      <family val="2"/>
    </font>
    <font>
      <sz val="10"/>
      <color theme="1" tint="0.249977111117893"/>
      <name val="Arial"/>
      <family val="2"/>
    </font>
    <font>
      <sz val="9"/>
      <color theme="1"/>
      <name val="Arial"/>
      <family val="2"/>
    </font>
    <font>
      <sz val="11"/>
      <color theme="1"/>
      <name val="Arial"/>
      <family val="2"/>
    </font>
    <font>
      <i/>
      <sz val="10"/>
      <color theme="1" tint="0.249977111117893"/>
      <name val="Arial"/>
      <family val="2"/>
    </font>
    <font>
      <sz val="11"/>
      <name val="Arial"/>
      <family val="2"/>
    </font>
    <font>
      <b/>
      <sz val="11"/>
      <color rgb="FFFF0000"/>
      <name val="Arial"/>
      <family val="2"/>
    </font>
    <font>
      <b/>
      <sz val="11"/>
      <color theme="1"/>
      <name val="Arial"/>
      <family val="2"/>
    </font>
    <font>
      <b/>
      <sz val="12"/>
      <color theme="1" tint="0.249977111117893"/>
      <name val="Arial"/>
      <family val="2"/>
    </font>
    <font>
      <sz val="10"/>
      <color theme="1"/>
      <name val="Arial"/>
      <family val="2"/>
    </font>
    <font>
      <b/>
      <sz val="10"/>
      <color theme="1"/>
      <name val="Arial"/>
      <family val="2"/>
    </font>
    <font>
      <b/>
      <sz val="10"/>
      <color theme="1" tint="0.34998626667073579"/>
      <name val="Arial"/>
      <family val="2"/>
    </font>
    <font>
      <u/>
      <sz val="11"/>
      <color theme="10"/>
      <name val="Arial"/>
      <family val="2"/>
    </font>
    <font>
      <sz val="11"/>
      <color theme="2" tint="-0.499984740745262"/>
      <name val="Arial"/>
      <family val="2"/>
    </font>
  </fonts>
  <fills count="11">
    <fill>
      <patternFill patternType="none"/>
    </fill>
    <fill>
      <patternFill patternType="gray125"/>
    </fill>
    <fill>
      <patternFill patternType="solid">
        <fgColor rgb="FFFF0000"/>
        <bgColor indexed="64"/>
      </patternFill>
    </fill>
    <fill>
      <patternFill patternType="solid">
        <fgColor theme="8" tint="0.79998168889431442"/>
        <bgColor indexed="64"/>
      </patternFill>
    </fill>
    <fill>
      <patternFill patternType="solid">
        <fgColor rgb="FFFFFFFF"/>
        <bgColor indexed="64"/>
      </patternFill>
    </fill>
    <fill>
      <patternFill patternType="solid">
        <fgColor theme="0" tint="-0.14999847407452621"/>
        <bgColor theme="0" tint="-0.14999847407452621"/>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9" tint="-0.499984740745262"/>
        <bgColor indexed="64"/>
      </patternFill>
    </fill>
  </fills>
  <borders count="22">
    <border>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theme="0" tint="-0.499984740745262"/>
      </left>
      <right/>
      <top/>
      <bottom/>
      <diagonal/>
    </border>
    <border>
      <left/>
      <right style="medium">
        <color theme="0" tint="-0.499984740745262"/>
      </right>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style="medium">
        <color theme="0" tint="-0.499984740745262"/>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
      <left/>
      <right/>
      <top style="medium">
        <color theme="0" tint="-0.499984740745262"/>
      </top>
      <bottom style="medium">
        <color theme="0" tint="-0.499984740745262"/>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3">
    <xf numFmtId="0" fontId="0" fillId="0" borderId="0"/>
    <xf numFmtId="9" fontId="8" fillId="0" borderId="0" applyFont="0" applyFill="0" applyBorder="0" applyAlignment="0" applyProtection="0"/>
    <xf numFmtId="0" fontId="17" fillId="0" borderId="0" applyNumberFormat="0" applyFill="0" applyBorder="0" applyAlignment="0" applyProtection="0"/>
  </cellStyleXfs>
  <cellXfs count="95">
    <xf numFmtId="0" fontId="0" fillId="0" borderId="0" xfId="0"/>
    <xf numFmtId="0" fontId="1" fillId="2" borderId="0" xfId="0" applyFont="1" applyFill="1" applyAlignment="1">
      <alignment horizontal="center"/>
    </xf>
    <xf numFmtId="0" fontId="0" fillId="0" borderId="0" xfId="0" applyBorder="1"/>
    <xf numFmtId="0" fontId="4" fillId="0" borderId="0" xfId="0" applyFont="1"/>
    <xf numFmtId="3" fontId="4" fillId="0" borderId="0" xfId="0" applyNumberFormat="1" applyFont="1"/>
    <xf numFmtId="0" fontId="0" fillId="0" borderId="0" xfId="0" applyAlignment="1">
      <alignment horizontal="right"/>
    </xf>
    <xf numFmtId="0" fontId="4" fillId="0" borderId="0" xfId="0" applyNumberFormat="1" applyFont="1"/>
    <xf numFmtId="0" fontId="7" fillId="3" borderId="0" xfId="0" applyFont="1" applyFill="1" applyAlignment="1">
      <alignment horizontal="right" wrapText="1"/>
    </xf>
    <xf numFmtId="0" fontId="0" fillId="3" borderId="0" xfId="0" applyFill="1"/>
    <xf numFmtId="0" fontId="4" fillId="3" borderId="0" xfId="0" applyFont="1" applyFill="1"/>
    <xf numFmtId="0" fontId="3" fillId="0" borderId="0" xfId="0" applyFont="1" applyBorder="1" applyAlignment="1">
      <alignment horizontal="center"/>
    </xf>
    <xf numFmtId="9" fontId="4" fillId="0" borderId="0" xfId="1" applyFont="1"/>
    <xf numFmtId="0" fontId="3" fillId="0" borderId="0" xfId="0" applyFont="1" applyBorder="1" applyAlignment="1">
      <alignment horizontal="right"/>
    </xf>
    <xf numFmtId="0" fontId="3" fillId="0" borderId="5" xfId="0" applyFont="1" applyBorder="1" applyAlignment="1">
      <alignment horizontal="center"/>
    </xf>
    <xf numFmtId="0" fontId="3" fillId="0" borderId="8" xfId="0" applyFont="1" applyBorder="1" applyAlignment="1">
      <alignment horizontal="center"/>
    </xf>
    <xf numFmtId="0" fontId="5" fillId="0" borderId="4" xfId="0" applyFont="1" applyBorder="1"/>
    <xf numFmtId="0" fontId="5" fillId="0" borderId="0" xfId="0" applyFont="1" applyBorder="1"/>
    <xf numFmtId="0" fontId="0" fillId="0" borderId="5" xfId="0" applyBorder="1"/>
    <xf numFmtId="0" fontId="5" fillId="0" borderId="6" xfId="0" applyFont="1" applyBorder="1"/>
    <xf numFmtId="0" fontId="5" fillId="0" borderId="7" xfId="0" applyFont="1" applyBorder="1"/>
    <xf numFmtId="0" fontId="0" fillId="0" borderId="8" xfId="0" applyBorder="1"/>
    <xf numFmtId="0" fontId="5" fillId="0" borderId="5" xfId="0" applyFont="1" applyBorder="1" applyAlignment="1">
      <alignment horizontal="left"/>
    </xf>
    <xf numFmtId="0" fontId="5" fillId="0" borderId="8" xfId="0" applyFont="1" applyBorder="1" applyAlignment="1">
      <alignment horizontal="left"/>
    </xf>
    <xf numFmtId="0" fontId="0" fillId="0" borderId="9" xfId="0" applyBorder="1"/>
    <xf numFmtId="0" fontId="0" fillId="0" borderId="10" xfId="0" applyBorder="1"/>
    <xf numFmtId="0" fontId="0" fillId="0" borderId="11" xfId="0" applyBorder="1"/>
    <xf numFmtId="0" fontId="1" fillId="4" borderId="1" xfId="0" applyFont="1" applyFill="1" applyBorder="1"/>
    <xf numFmtId="0" fontId="0" fillId="0" borderId="0" xfId="0" applyBorder="1" applyAlignment="1">
      <alignment horizontal="center"/>
    </xf>
    <xf numFmtId="0" fontId="0" fillId="0" borderId="0" xfId="0" applyFill="1" applyBorder="1"/>
    <xf numFmtId="0" fontId="0" fillId="0" borderId="0" xfId="0" applyFill="1" applyBorder="1" applyAlignment="1">
      <alignment horizontal="center"/>
    </xf>
    <xf numFmtId="0" fontId="3" fillId="0" borderId="0" xfId="0" applyFont="1" applyFill="1" applyBorder="1" applyAlignment="1">
      <alignment horizontal="center"/>
    </xf>
    <xf numFmtId="3" fontId="4" fillId="0" borderId="0" xfId="0" applyNumberFormat="1" applyFont="1" applyFill="1" applyBorder="1" applyAlignment="1">
      <alignment horizontal="center"/>
    </xf>
    <xf numFmtId="0" fontId="4" fillId="0" borderId="0" xfId="0" applyFont="1" applyFill="1" applyBorder="1" applyAlignment="1">
      <alignment horizontal="center"/>
    </xf>
    <xf numFmtId="0" fontId="3" fillId="0" borderId="0" xfId="0" applyFont="1" applyFill="1" applyBorder="1" applyAlignment="1">
      <alignment horizontal="right"/>
    </xf>
    <xf numFmtId="0" fontId="0" fillId="0" borderId="0" xfId="0" applyFill="1" applyBorder="1" applyAlignment="1">
      <alignment horizontal="right"/>
    </xf>
    <xf numFmtId="0" fontId="0" fillId="0" borderId="12" xfId="0" applyFill="1" applyBorder="1" applyAlignment="1">
      <alignment horizontal="center"/>
    </xf>
    <xf numFmtId="0" fontId="3" fillId="0" borderId="12" xfId="0" applyFont="1" applyFill="1" applyBorder="1" applyAlignment="1">
      <alignment horizontal="center"/>
    </xf>
    <xf numFmtId="0" fontId="3" fillId="0" borderId="12" xfId="0" applyFont="1" applyBorder="1" applyAlignment="1">
      <alignment horizontal="center"/>
    </xf>
    <xf numFmtId="0" fontId="1" fillId="0" borderId="0" xfId="0" applyFont="1" applyFill="1"/>
    <xf numFmtId="3" fontId="10" fillId="0" borderId="0" xfId="0" applyNumberFormat="1" applyFont="1" applyFill="1" applyBorder="1" applyAlignment="1">
      <alignment horizontal="center"/>
    </xf>
    <xf numFmtId="0" fontId="10" fillId="0" borderId="0" xfId="0" applyFont="1" applyFill="1" applyBorder="1" applyAlignment="1">
      <alignment horizontal="center"/>
    </xf>
    <xf numFmtId="16" fontId="10" fillId="0" borderId="0" xfId="0" applyNumberFormat="1" applyFont="1" applyFill="1" applyBorder="1" applyAlignment="1">
      <alignment horizontal="center"/>
    </xf>
    <xf numFmtId="0" fontId="0" fillId="0" borderId="0" xfId="0" applyBorder="1" applyAlignment="1">
      <alignment horizontal="right"/>
    </xf>
    <xf numFmtId="0" fontId="0" fillId="0" borderId="0" xfId="0" applyBorder="1" applyAlignment="1">
      <alignment horizontal="left"/>
    </xf>
    <xf numFmtId="0" fontId="0" fillId="0" borderId="12" xfId="0" applyBorder="1"/>
    <xf numFmtId="0" fontId="0" fillId="0" borderId="12" xfId="0" applyBorder="1" applyAlignment="1">
      <alignment horizontal="center"/>
    </xf>
    <xf numFmtId="16" fontId="3" fillId="0" borderId="12" xfId="0" applyNumberFormat="1" applyFont="1" applyFill="1" applyBorder="1" applyAlignment="1">
      <alignment horizontal="center"/>
    </xf>
    <xf numFmtId="0" fontId="10" fillId="0" borderId="0" xfId="0" applyFont="1" applyFill="1" applyBorder="1"/>
    <xf numFmtId="0" fontId="1" fillId="0" borderId="0" xfId="0" applyFont="1" applyFill="1" applyBorder="1"/>
    <xf numFmtId="0" fontId="11" fillId="0" borderId="0" xfId="0" applyFont="1"/>
    <xf numFmtId="0" fontId="12" fillId="0" borderId="0" xfId="0" applyFont="1"/>
    <xf numFmtId="3" fontId="5" fillId="0" borderId="0" xfId="0" applyNumberFormat="1" applyFont="1" applyBorder="1"/>
    <xf numFmtId="0" fontId="0" fillId="0" borderId="0" xfId="0" applyFill="1" applyBorder="1" applyAlignment="1"/>
    <xf numFmtId="0" fontId="5" fillId="0" borderId="13" xfId="0" applyFont="1" applyFill="1" applyBorder="1" applyAlignment="1">
      <alignment horizontal="right"/>
    </xf>
    <xf numFmtId="0" fontId="5" fillId="0" borderId="14" xfId="0" applyFont="1" applyFill="1" applyBorder="1" applyAlignment="1">
      <alignment horizontal="right"/>
    </xf>
    <xf numFmtId="0" fontId="13" fillId="0" borderId="0" xfId="0" applyFont="1" applyBorder="1"/>
    <xf numFmtId="0" fontId="5" fillId="0" borderId="0" xfId="0" applyFont="1" applyBorder="1" applyAlignment="1">
      <alignment wrapText="1"/>
    </xf>
    <xf numFmtId="0" fontId="0" fillId="0" borderId="0" xfId="0" applyFill="1" applyBorder="1" applyAlignment="1">
      <alignment horizontal="center"/>
    </xf>
    <xf numFmtId="1" fontId="0" fillId="0" borderId="0" xfId="0" applyNumberFormat="1"/>
    <xf numFmtId="0" fontId="4" fillId="3" borderId="0" xfId="0" applyNumberFormat="1" applyFont="1" applyFill="1"/>
    <xf numFmtId="1" fontId="4" fillId="0" borderId="0" xfId="0" applyNumberFormat="1" applyFont="1"/>
    <xf numFmtId="164" fontId="0" fillId="0" borderId="0" xfId="0" applyNumberFormat="1"/>
    <xf numFmtId="9" fontId="4" fillId="0" borderId="0" xfId="0" applyNumberFormat="1" applyFont="1"/>
    <xf numFmtId="0" fontId="5" fillId="0" borderId="16" xfId="0" applyFont="1" applyFill="1" applyBorder="1" applyAlignment="1">
      <alignment horizontal="right"/>
    </xf>
    <xf numFmtId="0" fontId="5" fillId="0" borderId="18" xfId="0" applyFont="1" applyFill="1" applyBorder="1"/>
    <xf numFmtId="0" fontId="5" fillId="0" borderId="17" xfId="0" applyFont="1" applyFill="1" applyBorder="1" applyAlignment="1">
      <alignment horizontal="left"/>
    </xf>
    <xf numFmtId="0" fontId="5" fillId="0" borderId="15" xfId="0" applyFont="1" applyFill="1" applyBorder="1" applyAlignment="1">
      <alignment horizontal="left"/>
    </xf>
    <xf numFmtId="0" fontId="9" fillId="0" borderId="0" xfId="0" applyFont="1" applyFill="1" applyBorder="1" applyAlignment="1"/>
    <xf numFmtId="0" fontId="6" fillId="0" borderId="19" xfId="0" applyFont="1" applyFill="1" applyBorder="1" applyAlignment="1">
      <alignment vertical="center"/>
    </xf>
    <xf numFmtId="0" fontId="14" fillId="0" borderId="0" xfId="0" applyFont="1"/>
    <xf numFmtId="0" fontId="14" fillId="0" borderId="0" xfId="0" applyFont="1" applyBorder="1"/>
    <xf numFmtId="0" fontId="15" fillId="0" borderId="0" xfId="0" applyFont="1" applyFill="1" applyBorder="1"/>
    <xf numFmtId="3" fontId="16" fillId="0" borderId="0" xfId="0" applyNumberFormat="1" applyFont="1" applyFill="1" applyAlignment="1"/>
    <xf numFmtId="3" fontId="3" fillId="0" borderId="0" xfId="0" applyNumberFormat="1" applyFont="1" applyFill="1" applyAlignment="1"/>
    <xf numFmtId="3" fontId="3" fillId="0" borderId="0" xfId="0" applyNumberFormat="1" applyFont="1" applyFill="1" applyAlignment="1">
      <alignment horizontal="left"/>
    </xf>
    <xf numFmtId="3" fontId="3" fillId="0" borderId="0" xfId="0" applyNumberFormat="1" applyFont="1" applyFill="1" applyBorder="1" applyAlignment="1">
      <alignment horizontal="left"/>
    </xf>
    <xf numFmtId="14" fontId="3" fillId="0" borderId="0" xfId="0" applyNumberFormat="1" applyFont="1" applyFill="1" applyBorder="1" applyAlignment="1">
      <alignment horizontal="left"/>
    </xf>
    <xf numFmtId="0" fontId="14" fillId="0" borderId="0" xfId="0" applyFont="1" applyFill="1" applyBorder="1" applyAlignment="1">
      <alignment horizontal="center"/>
    </xf>
    <xf numFmtId="17" fontId="5" fillId="0" borderId="15" xfId="0" applyNumberFormat="1" applyFont="1" applyFill="1" applyBorder="1" applyAlignment="1">
      <alignment horizontal="left"/>
    </xf>
    <xf numFmtId="0" fontId="1" fillId="0" borderId="0" xfId="0" applyFont="1"/>
    <xf numFmtId="1" fontId="1" fillId="0" borderId="0" xfId="0" applyNumberFormat="1" applyFont="1"/>
    <xf numFmtId="0" fontId="18" fillId="0" borderId="0" xfId="0" applyFont="1"/>
    <xf numFmtId="0" fontId="17" fillId="0" borderId="0" xfId="2"/>
    <xf numFmtId="0" fontId="5" fillId="5" borderId="20" xfId="0" applyFont="1" applyFill="1" applyBorder="1" applyAlignment="1">
      <alignment horizontal="center"/>
    </xf>
    <xf numFmtId="0" fontId="5" fillId="5" borderId="21" xfId="0" applyFont="1" applyFill="1" applyBorder="1" applyAlignment="1">
      <alignment horizontal="center"/>
    </xf>
    <xf numFmtId="0" fontId="2" fillId="2" borderId="0" xfId="0" applyFont="1" applyFill="1" applyAlignment="1">
      <alignment horizontal="center"/>
    </xf>
    <xf numFmtId="0" fontId="0" fillId="0" borderId="0" xfId="0" applyAlignment="1">
      <alignment vertical="center"/>
    </xf>
    <xf numFmtId="2" fontId="5" fillId="0" borderId="0" xfId="0" applyNumberFormat="1" applyFont="1" applyBorder="1"/>
    <xf numFmtId="0" fontId="1" fillId="6" borderId="2" xfId="0" applyFont="1" applyFill="1" applyBorder="1"/>
    <xf numFmtId="0" fontId="1" fillId="7" borderId="2" xfId="0" applyFont="1" applyFill="1" applyBorder="1"/>
    <xf numFmtId="0" fontId="2" fillId="8" borderId="2" xfId="0" applyFont="1" applyFill="1" applyBorder="1"/>
    <xf numFmtId="0" fontId="2" fillId="9" borderId="2" xfId="0" applyFont="1" applyFill="1" applyBorder="1"/>
    <xf numFmtId="0" fontId="2" fillId="10" borderId="3" xfId="0" applyFont="1" applyFill="1" applyBorder="1"/>
    <xf numFmtId="167" fontId="10" fillId="0" borderId="12" xfId="0" applyNumberFormat="1" applyFont="1" applyFill="1" applyBorder="1"/>
    <xf numFmtId="167" fontId="10" fillId="0" borderId="12" xfId="0" applyNumberFormat="1" applyFont="1" applyFill="1" applyBorder="1" applyAlignment="1">
      <alignment horizontal="center"/>
    </xf>
  </cellXfs>
  <cellStyles count="3">
    <cellStyle name="Hyperlink" xfId="2" builtinId="8"/>
    <cellStyle name="Normal" xfId="0" builtinId="0"/>
    <cellStyle name="Percent" xfId="1" builtinId="5"/>
  </cellStyles>
  <dxfs count="22">
    <dxf>
      <font>
        <strike val="0"/>
        <outline val="0"/>
        <shadow val="0"/>
        <u val="none"/>
        <vertAlign val="baseline"/>
        <sz val="9"/>
        <color theme="1" tint="0.249977111117893"/>
        <name val="Arial"/>
        <scheme val="none"/>
      </font>
      <numFmt numFmtId="2" formatCode="0.00"/>
    </dxf>
    <dxf>
      <font>
        <strike val="0"/>
        <outline val="0"/>
        <shadow val="0"/>
        <u val="none"/>
        <vertAlign val="baseline"/>
        <sz val="9"/>
        <color theme="1" tint="0.249977111117893"/>
        <name val="Arial"/>
        <scheme val="none"/>
      </font>
      <numFmt numFmtId="3" formatCode="#,##0"/>
    </dxf>
    <dxf>
      <font>
        <b val="0"/>
        <i val="0"/>
        <strike val="0"/>
        <condense val="0"/>
        <extend val="0"/>
        <outline val="0"/>
        <shadow val="0"/>
        <u val="none"/>
        <vertAlign val="baseline"/>
        <sz val="9"/>
        <color theme="1" tint="0.249977111117893"/>
        <name val="Arial"/>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scheme val="none"/>
      </font>
      <fill>
        <patternFill patternType="none">
          <fgColor indexed="64"/>
          <bgColor auto="1"/>
        </patternFill>
      </fill>
    </dxf>
    <dxf>
      <font>
        <b val="0"/>
        <i val="0"/>
        <strike val="0"/>
        <condense val="0"/>
        <extend val="0"/>
        <outline val="0"/>
        <shadow val="0"/>
        <u val="none"/>
        <vertAlign val="baseline"/>
        <sz val="10"/>
        <color auto="1"/>
        <name val="Arial"/>
        <scheme val="none"/>
      </font>
      <fill>
        <patternFill patternType="none">
          <fgColor indexed="64"/>
          <bgColor auto="1"/>
        </patternFill>
      </fill>
    </dxf>
    <dxf>
      <font>
        <b val="0"/>
        <i val="0"/>
        <strike val="0"/>
        <condense val="0"/>
        <extend val="0"/>
        <outline val="0"/>
        <shadow val="0"/>
        <u val="none"/>
        <vertAlign val="baseline"/>
        <sz val="10"/>
        <color auto="1"/>
        <name val="Arial"/>
        <scheme val="none"/>
      </font>
      <fill>
        <patternFill patternType="none">
          <fgColor indexed="64"/>
          <bgColor auto="1"/>
        </patternFill>
      </fill>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fill>
        <patternFill patternType="solid">
          <fgColor indexed="64"/>
          <bgColor rgb="FFFF0000"/>
        </patternFill>
      </fill>
      <alignment horizontal="center" vertical="bottom" textRotation="0" wrapText="0" indent="0" justifyLastLine="0" shrinkToFit="0" readingOrder="0"/>
    </dxf>
    <dxf>
      <font>
        <strike val="0"/>
        <outline val="0"/>
        <shadow val="0"/>
        <u val="none"/>
        <vertAlign val="baseline"/>
        <sz val="11"/>
        <color theme="1" tint="0.249977111117893"/>
        <name val="Arial"/>
        <scheme val="none"/>
      </font>
      <numFmt numFmtId="0" formatCode="General"/>
      <fill>
        <patternFill patternType="solid">
          <fgColor indexed="64"/>
          <bgColor theme="8" tint="0.79998168889431442"/>
        </patternFill>
      </fill>
    </dxf>
    <dxf>
      <font>
        <b val="0"/>
        <i val="0"/>
        <strike val="0"/>
        <condense val="0"/>
        <extend val="0"/>
        <outline val="0"/>
        <shadow val="0"/>
        <u val="none"/>
        <vertAlign val="baseline"/>
        <sz val="11"/>
        <color theme="1" tint="0.249977111117893"/>
        <name val="Arial"/>
        <scheme val="none"/>
      </font>
    </dxf>
    <dxf>
      <font>
        <b val="0"/>
        <i val="0"/>
        <strike val="0"/>
        <condense val="0"/>
        <extend val="0"/>
        <outline val="0"/>
        <shadow val="0"/>
        <u val="none"/>
        <vertAlign val="baseline"/>
        <sz val="11"/>
        <color theme="1" tint="0.249977111117893"/>
        <name val="Arial"/>
        <scheme val="none"/>
      </font>
      <numFmt numFmtId="3" formatCode="#,##0"/>
    </dxf>
    <dxf>
      <font>
        <b val="0"/>
        <i val="0"/>
        <strike val="0"/>
        <condense val="0"/>
        <extend val="0"/>
        <outline val="0"/>
        <shadow val="0"/>
        <u val="none"/>
        <vertAlign val="baseline"/>
        <sz val="11"/>
        <color theme="1" tint="0.249977111117893"/>
        <name val="Arial"/>
        <scheme val="none"/>
      </font>
      <numFmt numFmtId="3" formatCode="#,##0"/>
    </dxf>
    <dxf>
      <font>
        <b val="0"/>
        <i val="0"/>
        <strike val="0"/>
        <condense val="0"/>
        <extend val="0"/>
        <outline val="0"/>
        <shadow val="0"/>
        <u val="none"/>
        <vertAlign val="baseline"/>
        <sz val="11"/>
        <color theme="1" tint="0.249977111117893"/>
        <name val="Arial"/>
        <scheme val="none"/>
      </font>
      <numFmt numFmtId="0" formatCode="General"/>
    </dxf>
    <dxf>
      <font>
        <b val="0"/>
        <i val="0"/>
        <strike val="0"/>
        <condense val="0"/>
        <extend val="0"/>
        <outline val="0"/>
        <shadow val="0"/>
        <u val="none"/>
        <vertAlign val="baseline"/>
        <sz val="11"/>
        <color theme="1" tint="0.249977111117893"/>
        <name val="Arial"/>
        <scheme val="none"/>
      </font>
      <numFmt numFmtId="3" formatCode="#,##0"/>
    </dxf>
    <dxf>
      <font>
        <b val="0"/>
        <i val="0"/>
        <strike val="0"/>
        <condense val="0"/>
        <extend val="0"/>
        <outline val="0"/>
        <shadow val="0"/>
        <u val="none"/>
        <vertAlign val="baseline"/>
        <sz val="11"/>
        <color theme="1" tint="0.249977111117893"/>
        <name val="Arial"/>
        <scheme val="none"/>
      </font>
      <numFmt numFmtId="3" formatCode="#,##0"/>
    </dxf>
    <dxf>
      <font>
        <strike val="0"/>
        <outline val="0"/>
        <shadow val="0"/>
        <u val="none"/>
        <vertAlign val="baseline"/>
        <sz val="11"/>
        <color theme="1" tint="0.249977111117893"/>
        <name val="Arial"/>
        <scheme val="none"/>
      </font>
      <numFmt numFmtId="3" formatCode="#,##0"/>
    </dxf>
    <dxf>
      <font>
        <strike val="0"/>
        <outline val="0"/>
        <shadow val="0"/>
        <u val="none"/>
        <vertAlign val="baseline"/>
        <sz val="11"/>
        <color theme="1" tint="0.249977111117893"/>
        <name val="Arial"/>
        <scheme val="none"/>
      </font>
    </dxf>
    <dxf>
      <font>
        <strike val="0"/>
        <outline val="0"/>
        <shadow val="0"/>
        <u val="none"/>
        <vertAlign val="baseline"/>
        <sz val="11"/>
        <color theme="1" tint="0.249977111117893"/>
        <name val="Arial"/>
        <scheme val="none"/>
      </font>
    </dxf>
    <dxf>
      <font>
        <strike val="0"/>
        <outline val="0"/>
        <shadow val="0"/>
        <u val="none"/>
        <vertAlign val="baseline"/>
        <sz val="9"/>
        <color theme="1" tint="0.249977111117893"/>
        <name val="Arial"/>
        <scheme val="none"/>
      </font>
      <numFmt numFmtId="3" formatCode="#,##0"/>
    </dxf>
    <dxf>
      <border diagonalUp="0" diagonalDown="0">
        <left style="medium">
          <color indexed="64"/>
        </left>
        <right style="medium">
          <color indexed="64"/>
        </right>
        <top style="medium">
          <color indexed="64"/>
        </top>
        <bottom style="medium">
          <color indexed="64"/>
        </bottom>
      </border>
    </dxf>
    <dxf>
      <font>
        <strike val="0"/>
        <outline val="0"/>
        <shadow val="0"/>
        <u val="none"/>
        <vertAlign val="baseline"/>
        <sz val="9"/>
        <color theme="1" tint="0.249977111117893"/>
        <name val="Arial"/>
        <scheme val="none"/>
      </font>
    </dxf>
    <dxf>
      <font>
        <strike val="0"/>
        <outline val="0"/>
        <shadow val="0"/>
        <u val="none"/>
        <vertAlign val="baseline"/>
        <sz val="9"/>
        <color theme="1" tint="0.249977111117893"/>
        <name val="Arial"/>
        <scheme val="none"/>
      </font>
    </dxf>
  </dxfs>
  <tableStyles count="0" defaultTableStyle="TableStyleMedium2" defaultPivotStyle="PivotStyleLight16"/>
  <colors>
    <mruColors>
      <color rgb="FFED7D31"/>
      <color rgb="FF800000"/>
      <color rgb="FFFF0000"/>
      <color rgb="FFFF4500"/>
      <color rgb="FFFFA500"/>
      <color rgb="FFFFFF00"/>
      <color rgb="FFFFFFFF"/>
      <color rgb="FF7A0177"/>
      <color rgb="FFC51B8A"/>
      <color rgb="FFF768A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3" Type="http://schemas.openxmlformats.org/officeDocument/2006/relationships/image" Target="../media/image3.png"/><Relationship Id="rId2" Type="http://schemas.microsoft.com/office/2011/relationships/chartColorStyle" Target="colors1.xml"/><Relationship Id="rId1" Type="http://schemas.microsoft.com/office/2011/relationships/chartStyle" Target="style1.xml"/><Relationship Id="rId5" Type="http://schemas.openxmlformats.org/officeDocument/2006/relationships/image" Target="../media/image5.png"/><Relationship Id="rId4" Type="http://schemas.openxmlformats.org/officeDocument/2006/relationships/image" Target="../media/image4.pn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v>size</c:v>
          </c:tx>
          <c:spPr>
            <a:blipFill>
              <a:blip xmlns:r="http://schemas.openxmlformats.org/officeDocument/2006/relationships" r:embed="rId3"/>
              <a:stretch>
                <a:fillRect/>
              </a:stretch>
            </a:blipFill>
            <a:ln w="25400">
              <a:noFill/>
            </a:ln>
            <a:effectLst/>
          </c:spPr>
          <c:invertIfNegative val="0"/>
          <c:dPt>
            <c:idx val="0"/>
            <c:invertIfNegative val="0"/>
            <c:bubble3D val="0"/>
            <c:spPr>
              <a:blipFill>
                <a:blip xmlns:r="http://schemas.openxmlformats.org/officeDocument/2006/relationships" r:embed="rId4"/>
                <a:stretch>
                  <a:fillRect/>
                </a:stretch>
              </a:blipFill>
              <a:ln w="25400">
                <a:noFill/>
              </a:ln>
              <a:effectLst/>
            </c:spPr>
            <c:extLst>
              <c:ext xmlns:c16="http://schemas.microsoft.com/office/drawing/2014/chart" uri="{C3380CC4-5D6E-409C-BE32-E72D297353CC}">
                <c16:uniqueId val="{00000001-8D31-1F46-8129-3022CEB2E9F4}"/>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'Bubble plot'!$A$3:$A$43</c:f>
              <c:numCache>
                <c:formatCode>General</c:formatCode>
                <c:ptCount val="41"/>
                <c:pt idx="0">
                  <c:v>6.2</c:v>
                </c:pt>
                <c:pt idx="1">
                  <c:v>6.1</c:v>
                </c:pt>
                <c:pt idx="2">
                  <c:v>7.2</c:v>
                </c:pt>
                <c:pt idx="3">
                  <c:v>8.1</c:v>
                </c:pt>
                <c:pt idx="4">
                  <c:v>7.2</c:v>
                </c:pt>
                <c:pt idx="5">
                  <c:v>5.9</c:v>
                </c:pt>
                <c:pt idx="6">
                  <c:v>4.8</c:v>
                </c:pt>
                <c:pt idx="7">
                  <c:v>3.7</c:v>
                </c:pt>
                <c:pt idx="8">
                  <c:v>2.5</c:v>
                </c:pt>
                <c:pt idx="9">
                  <c:v>2.5</c:v>
                </c:pt>
                <c:pt idx="10">
                  <c:v>3.5</c:v>
                </c:pt>
                <c:pt idx="11">
                  <c:v>3.3</c:v>
                </c:pt>
                <c:pt idx="40">
                  <c:v>6.2</c:v>
                </c:pt>
              </c:numCache>
            </c:numRef>
          </c:xVal>
          <c:yVal>
            <c:numRef>
              <c:f>'Bubble plot'!$B$3:$B$43</c:f>
              <c:numCache>
                <c:formatCode>General</c:formatCode>
                <c:ptCount val="41"/>
                <c:pt idx="0">
                  <c:v>8.6</c:v>
                </c:pt>
                <c:pt idx="1">
                  <c:v>7.3</c:v>
                </c:pt>
                <c:pt idx="2">
                  <c:v>7.8</c:v>
                </c:pt>
                <c:pt idx="3">
                  <c:v>6.8</c:v>
                </c:pt>
                <c:pt idx="4">
                  <c:v>6.5</c:v>
                </c:pt>
                <c:pt idx="5">
                  <c:v>6.5</c:v>
                </c:pt>
                <c:pt idx="6">
                  <c:v>6.05</c:v>
                </c:pt>
                <c:pt idx="7">
                  <c:v>7.35</c:v>
                </c:pt>
                <c:pt idx="8">
                  <c:v>6.3</c:v>
                </c:pt>
                <c:pt idx="9">
                  <c:v>4.5999999999999996</c:v>
                </c:pt>
                <c:pt idx="10">
                  <c:v>5</c:v>
                </c:pt>
                <c:pt idx="11">
                  <c:v>4.3</c:v>
                </c:pt>
                <c:pt idx="40">
                  <c:v>1.2</c:v>
                </c:pt>
              </c:numCache>
            </c:numRef>
          </c:yVal>
          <c:bubbleSize>
            <c:numRef>
              <c:f>'Bubble plot'!$E$3:$E$43</c:f>
              <c:numCache>
                <c:formatCode>General</c:formatCode>
                <c:ptCount val="41"/>
                <c:pt idx="0">
                  <c:v>10</c:v>
                </c:pt>
                <c:pt idx="1">
                  <c:v>3</c:v>
                </c:pt>
                <c:pt idx="2">
                  <c:v>4</c:v>
                </c:pt>
                <c:pt idx="3">
                  <c:v>6</c:v>
                </c:pt>
                <c:pt idx="4">
                  <c:v>2</c:v>
                </c:pt>
                <c:pt idx="5">
                  <c:v>6</c:v>
                </c:pt>
                <c:pt idx="6">
                  <c:v>4</c:v>
                </c:pt>
                <c:pt idx="7">
                  <c:v>1</c:v>
                </c:pt>
                <c:pt idx="8">
                  <c:v>8</c:v>
                </c:pt>
                <c:pt idx="9">
                  <c:v>9</c:v>
                </c:pt>
                <c:pt idx="10">
                  <c:v>3</c:v>
                </c:pt>
                <c:pt idx="11">
                  <c:v>0</c:v>
                </c:pt>
                <c:pt idx="12">
                  <c:v>0</c:v>
                </c:pt>
                <c:pt idx="40">
                  <c:v>6</c:v>
                </c:pt>
              </c:numCache>
            </c:numRef>
          </c:bubbleSize>
          <c:bubble3D val="0"/>
          <c:extLst>
            <c:ext xmlns:c16="http://schemas.microsoft.com/office/drawing/2014/chart" uri="{C3380CC4-5D6E-409C-BE32-E72D297353CC}">
              <c16:uniqueId val="{00000000-8D31-1F46-8129-3022CEB2E9F4}"/>
            </c:ext>
          </c:extLst>
        </c:ser>
        <c:dLbls>
          <c:showLegendKey val="0"/>
          <c:showVal val="0"/>
          <c:showCatName val="0"/>
          <c:showSerName val="0"/>
          <c:showPercent val="0"/>
          <c:showBubbleSize val="0"/>
        </c:dLbls>
        <c:bubbleScale val="40"/>
        <c:showNegBubbles val="0"/>
        <c:axId val="2002104783"/>
        <c:axId val="1988575439"/>
      </c:bubbleChart>
      <c:valAx>
        <c:axId val="2002104783"/>
        <c:scaling>
          <c:orientation val="minMax"/>
          <c:max val="10"/>
          <c:min val="0"/>
        </c:scaling>
        <c:delete val="1"/>
        <c:axPos val="b"/>
        <c:numFmt formatCode="General" sourceLinked="1"/>
        <c:majorTickMark val="out"/>
        <c:minorTickMark val="none"/>
        <c:tickLblPos val="nextTo"/>
        <c:crossAx val="1988575439"/>
        <c:crosses val="autoZero"/>
        <c:crossBetween val="midCat"/>
      </c:valAx>
      <c:valAx>
        <c:axId val="1988575439"/>
        <c:scaling>
          <c:orientation val="minMax"/>
          <c:max val="10"/>
          <c:min val="0"/>
        </c:scaling>
        <c:delete val="1"/>
        <c:axPos val="l"/>
        <c:numFmt formatCode="General" sourceLinked="1"/>
        <c:majorTickMark val="out"/>
        <c:minorTickMark val="none"/>
        <c:tickLblPos val="nextTo"/>
        <c:crossAx val="200210478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blipFill>
      <a:blip xmlns:r="http://schemas.openxmlformats.org/officeDocument/2006/relationships" r:embed="rId5"/>
      <a:stretch>
        <a:fillRect/>
      </a:stretch>
    </a:blip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image" Target="../media/image7.svg"/><Relationship Id="rId2" Type="http://schemas.openxmlformats.org/officeDocument/2006/relationships/image" Target="../media/image6.png"/><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9</xdr:col>
      <xdr:colOff>590550</xdr:colOff>
      <xdr:row>45</xdr:row>
      <xdr:rowOff>152386</xdr:rowOff>
    </xdr:from>
    <xdr:to>
      <xdr:col>10</xdr:col>
      <xdr:colOff>723138</xdr:colOff>
      <xdr:row>51</xdr:row>
      <xdr:rowOff>97641</xdr:rowOff>
    </xdr:to>
    <xdr:grpSp>
      <xdr:nvGrpSpPr>
        <xdr:cNvPr id="259" name="Legend Ramp">
          <a:extLst>
            <a:ext uri="{FF2B5EF4-FFF2-40B4-BE49-F238E27FC236}">
              <a16:creationId xmlns:a16="http://schemas.microsoft.com/office/drawing/2014/main" id="{00000000-0008-0000-0100-000003010000}"/>
            </a:ext>
          </a:extLst>
        </xdr:cNvPr>
        <xdr:cNvGrpSpPr/>
      </xdr:nvGrpSpPr>
      <xdr:grpSpPr>
        <a:xfrm>
          <a:off x="9810750" y="8178786"/>
          <a:ext cx="983488" cy="1012055"/>
          <a:chOff x="7092586" y="1584108"/>
          <a:chExt cx="1477814" cy="1060530"/>
        </a:xfrm>
        <a:noFill/>
      </xdr:grpSpPr>
      <xdr:grpSp>
        <xdr:nvGrpSpPr>
          <xdr:cNvPr id="260" name="Ramp 1">
            <a:extLst>
              <a:ext uri="{FF2B5EF4-FFF2-40B4-BE49-F238E27FC236}">
                <a16:creationId xmlns:a16="http://schemas.microsoft.com/office/drawing/2014/main" id="{00000000-0008-0000-0100-000004010000}"/>
              </a:ext>
            </a:extLst>
          </xdr:cNvPr>
          <xdr:cNvGrpSpPr/>
        </xdr:nvGrpSpPr>
        <xdr:grpSpPr>
          <a:xfrm>
            <a:off x="7092812" y="1764812"/>
            <a:ext cx="1477587" cy="176445"/>
            <a:chOff x="10346997" y="5790823"/>
            <a:chExt cx="1472145" cy="178524"/>
          </a:xfrm>
          <a:grpFill/>
        </xdr:grpSpPr>
        <xdr:sp macro="" textlink="">
          <xdr:nvSpPr>
            <xdr:cNvPr id="276" name="ColorRampBox1">
              <a:extLst>
                <a:ext uri="{FF2B5EF4-FFF2-40B4-BE49-F238E27FC236}">
                  <a16:creationId xmlns:a16="http://schemas.microsoft.com/office/drawing/2014/main" id="{00000000-0008-0000-0100-000014010000}"/>
                </a:ext>
              </a:extLst>
            </xdr:cNvPr>
            <xdr:cNvSpPr/>
          </xdr:nvSpPr>
          <xdr:spPr>
            <a:xfrm>
              <a:off x="10346997" y="5790823"/>
              <a:ext cx="156392" cy="160774"/>
            </a:xfrm>
            <a:prstGeom prst="rect">
              <a:avLst/>
            </a:prstGeom>
            <a:solidFill>
              <a:srgbClr val="E2EFDA"/>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Calculation!Q5">
          <xdr:nvSpPr>
            <xdr:cNvPr id="277" name="Legend 1">
              <a:extLst>
                <a:ext uri="{FF2B5EF4-FFF2-40B4-BE49-F238E27FC236}">
                  <a16:creationId xmlns:a16="http://schemas.microsoft.com/office/drawing/2014/main" id="{00000000-0008-0000-0100-000015010000}"/>
                </a:ext>
              </a:extLst>
            </xdr:cNvPr>
            <xdr:cNvSpPr txBox="1"/>
          </xdr:nvSpPr>
          <xdr:spPr>
            <a:xfrm>
              <a:off x="10559141" y="5800774"/>
              <a:ext cx="1260001" cy="168573"/>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square" lIns="36000" tIns="0" rIns="36000" bIns="0" rtlCol="0" anchor="t">
              <a:spAutoFit/>
            </a:bodyPr>
            <a:lstStyle/>
            <a:p>
              <a:pPr algn="l"/>
              <a:fld id="{762B3B88-3BB4-414D-ABB4-F8A8183F6249}" type="TxLink">
                <a:rPr lang="en-US" sz="1000" b="0" i="0" u="none" strike="noStrike">
                  <a:solidFill>
                    <a:srgbClr val="595959"/>
                  </a:solidFill>
                  <a:latin typeface="Arial"/>
                  <a:cs typeface="Arial"/>
                </a:rPr>
                <a:pPr algn="l"/>
                <a:t>0.01-0.35</a:t>
              </a:fld>
              <a:endParaRPr lang="en-GB" sz="800">
                <a:solidFill>
                  <a:schemeClr val="tx1">
                    <a:lumMod val="65000"/>
                    <a:lumOff val="35000"/>
                  </a:schemeClr>
                </a:solidFill>
              </a:endParaRPr>
            </a:p>
          </xdr:txBody>
        </xdr:sp>
      </xdr:grpSp>
      <xdr:grpSp>
        <xdr:nvGrpSpPr>
          <xdr:cNvPr id="261" name="Ramp 2">
            <a:extLst>
              <a:ext uri="{FF2B5EF4-FFF2-40B4-BE49-F238E27FC236}">
                <a16:creationId xmlns:a16="http://schemas.microsoft.com/office/drawing/2014/main" id="{00000000-0008-0000-0100-000005010000}"/>
              </a:ext>
            </a:extLst>
          </xdr:cNvPr>
          <xdr:cNvGrpSpPr/>
        </xdr:nvGrpSpPr>
        <xdr:grpSpPr>
          <a:xfrm>
            <a:off x="7092812" y="1940658"/>
            <a:ext cx="1477588" cy="176445"/>
            <a:chOff x="10346997" y="5948604"/>
            <a:chExt cx="1472146" cy="178524"/>
          </a:xfrm>
          <a:grpFill/>
        </xdr:grpSpPr>
        <xdr:sp macro="" textlink="">
          <xdr:nvSpPr>
            <xdr:cNvPr id="274" name="ColorRampBox2">
              <a:extLst>
                <a:ext uri="{FF2B5EF4-FFF2-40B4-BE49-F238E27FC236}">
                  <a16:creationId xmlns:a16="http://schemas.microsoft.com/office/drawing/2014/main" id="{00000000-0008-0000-0100-000012010000}"/>
                </a:ext>
              </a:extLst>
            </xdr:cNvPr>
            <xdr:cNvSpPr/>
          </xdr:nvSpPr>
          <xdr:spPr>
            <a:xfrm>
              <a:off x="10346997" y="5948604"/>
              <a:ext cx="156391" cy="160774"/>
            </a:xfrm>
            <a:prstGeom prst="rect">
              <a:avLst/>
            </a:prstGeom>
            <a:solidFill>
              <a:srgbClr val="C6E0B4"/>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Calculation!Q6">
          <xdr:nvSpPr>
            <xdr:cNvPr id="275" name="Legend 2">
              <a:extLst>
                <a:ext uri="{FF2B5EF4-FFF2-40B4-BE49-F238E27FC236}">
                  <a16:creationId xmlns:a16="http://schemas.microsoft.com/office/drawing/2014/main" id="{00000000-0008-0000-0100-000013010000}"/>
                </a:ext>
              </a:extLst>
            </xdr:cNvPr>
            <xdr:cNvSpPr txBox="1"/>
          </xdr:nvSpPr>
          <xdr:spPr>
            <a:xfrm>
              <a:off x="10559144" y="5958555"/>
              <a:ext cx="1259999" cy="168573"/>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square" lIns="36000" tIns="0" rIns="36000" bIns="0" rtlCol="0" anchor="t">
              <a:spAutoFit/>
            </a:bodyPr>
            <a:lstStyle/>
            <a:p>
              <a:pPr algn="l"/>
              <a:fld id="{D63148DA-46F1-4E98-955E-9FC88A3C4C8A}" type="TxLink">
                <a:rPr lang="en-US" sz="1000" b="0" i="0" u="none" strike="noStrike">
                  <a:solidFill>
                    <a:srgbClr val="595959"/>
                  </a:solidFill>
                  <a:latin typeface="Arial"/>
                  <a:cs typeface="Arial"/>
                </a:rPr>
                <a:pPr algn="l"/>
                <a:t>0.35-0.7</a:t>
              </a:fld>
              <a:endParaRPr lang="en-GB" sz="800">
                <a:solidFill>
                  <a:schemeClr val="tx1">
                    <a:lumMod val="75000"/>
                    <a:lumOff val="25000"/>
                  </a:schemeClr>
                </a:solidFill>
              </a:endParaRPr>
            </a:p>
          </xdr:txBody>
        </xdr:sp>
      </xdr:grpSp>
      <xdr:grpSp>
        <xdr:nvGrpSpPr>
          <xdr:cNvPr id="262" name="Ramp 3">
            <a:extLst>
              <a:ext uri="{FF2B5EF4-FFF2-40B4-BE49-F238E27FC236}">
                <a16:creationId xmlns:a16="http://schemas.microsoft.com/office/drawing/2014/main" id="{00000000-0008-0000-0100-000006010000}"/>
              </a:ext>
            </a:extLst>
          </xdr:cNvPr>
          <xdr:cNvGrpSpPr/>
        </xdr:nvGrpSpPr>
        <xdr:grpSpPr>
          <a:xfrm>
            <a:off x="7092812" y="2116502"/>
            <a:ext cx="1477588" cy="176445"/>
            <a:chOff x="10346997" y="6109105"/>
            <a:chExt cx="1472146" cy="178524"/>
          </a:xfrm>
          <a:grpFill/>
        </xdr:grpSpPr>
        <xdr:sp macro="" textlink="">
          <xdr:nvSpPr>
            <xdr:cNvPr id="272" name="ColorRampBox3">
              <a:extLst>
                <a:ext uri="{FF2B5EF4-FFF2-40B4-BE49-F238E27FC236}">
                  <a16:creationId xmlns:a16="http://schemas.microsoft.com/office/drawing/2014/main" id="{00000000-0008-0000-0100-000010010000}"/>
                </a:ext>
              </a:extLst>
            </xdr:cNvPr>
            <xdr:cNvSpPr/>
          </xdr:nvSpPr>
          <xdr:spPr>
            <a:xfrm>
              <a:off x="10346997" y="6109105"/>
              <a:ext cx="156391" cy="160774"/>
            </a:xfrm>
            <a:prstGeom prst="rect">
              <a:avLst/>
            </a:prstGeom>
            <a:solidFill>
              <a:srgbClr val="A9D08E"/>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Calculation!Q7">
          <xdr:nvSpPr>
            <xdr:cNvPr id="273" name="Legend 3">
              <a:extLst>
                <a:ext uri="{FF2B5EF4-FFF2-40B4-BE49-F238E27FC236}">
                  <a16:creationId xmlns:a16="http://schemas.microsoft.com/office/drawing/2014/main" id="{00000000-0008-0000-0100-000011010000}"/>
                </a:ext>
              </a:extLst>
            </xdr:cNvPr>
            <xdr:cNvSpPr txBox="1"/>
          </xdr:nvSpPr>
          <xdr:spPr>
            <a:xfrm>
              <a:off x="10559144" y="6119056"/>
              <a:ext cx="1259999" cy="168573"/>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square" lIns="36000" tIns="0" rIns="36000" bIns="0" rtlCol="0" anchor="t">
              <a:spAutoFit/>
            </a:bodyPr>
            <a:lstStyle/>
            <a:p>
              <a:pPr algn="l"/>
              <a:fld id="{CDAFCA69-0D50-4C50-9391-6230E5D42E56}" type="TxLink">
                <a:rPr lang="en-US" sz="1000" b="0" i="0" u="none" strike="noStrike">
                  <a:solidFill>
                    <a:srgbClr val="595959"/>
                  </a:solidFill>
                  <a:latin typeface="Arial"/>
                  <a:cs typeface="Arial"/>
                </a:rPr>
                <a:pPr algn="l"/>
                <a:t>0.71-0.105</a:t>
              </a:fld>
              <a:endParaRPr lang="en-GB" sz="800">
                <a:solidFill>
                  <a:schemeClr val="tx1">
                    <a:lumMod val="75000"/>
                    <a:lumOff val="25000"/>
                  </a:schemeClr>
                </a:solidFill>
              </a:endParaRPr>
            </a:p>
          </xdr:txBody>
        </xdr:sp>
      </xdr:grpSp>
      <xdr:grpSp>
        <xdr:nvGrpSpPr>
          <xdr:cNvPr id="263" name="Ramp 4">
            <a:extLst>
              <a:ext uri="{FF2B5EF4-FFF2-40B4-BE49-F238E27FC236}">
                <a16:creationId xmlns:a16="http://schemas.microsoft.com/office/drawing/2014/main" id="{00000000-0008-0000-0100-000007010000}"/>
              </a:ext>
            </a:extLst>
          </xdr:cNvPr>
          <xdr:cNvGrpSpPr/>
        </xdr:nvGrpSpPr>
        <xdr:grpSpPr>
          <a:xfrm>
            <a:off x="7092812" y="2292347"/>
            <a:ext cx="1477588" cy="176445"/>
            <a:chOff x="10346997" y="6264164"/>
            <a:chExt cx="1472146" cy="178524"/>
          </a:xfrm>
          <a:grpFill/>
        </xdr:grpSpPr>
        <xdr:sp macro="" textlink="">
          <xdr:nvSpPr>
            <xdr:cNvPr id="270" name="ColorRampBox4">
              <a:extLst>
                <a:ext uri="{FF2B5EF4-FFF2-40B4-BE49-F238E27FC236}">
                  <a16:creationId xmlns:a16="http://schemas.microsoft.com/office/drawing/2014/main" id="{00000000-0008-0000-0100-00000E010000}"/>
                </a:ext>
              </a:extLst>
            </xdr:cNvPr>
            <xdr:cNvSpPr/>
          </xdr:nvSpPr>
          <xdr:spPr>
            <a:xfrm>
              <a:off x="10346997" y="6264164"/>
              <a:ext cx="156392" cy="160774"/>
            </a:xfrm>
            <a:prstGeom prst="rect">
              <a:avLst/>
            </a:prstGeom>
            <a:solidFill>
              <a:srgbClr val="548235"/>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Calculation!Q8">
          <xdr:nvSpPr>
            <xdr:cNvPr id="271" name="Legend 4">
              <a:extLst>
                <a:ext uri="{FF2B5EF4-FFF2-40B4-BE49-F238E27FC236}">
                  <a16:creationId xmlns:a16="http://schemas.microsoft.com/office/drawing/2014/main" id="{00000000-0008-0000-0100-00000F010000}"/>
                </a:ext>
              </a:extLst>
            </xdr:cNvPr>
            <xdr:cNvSpPr txBox="1"/>
          </xdr:nvSpPr>
          <xdr:spPr>
            <a:xfrm>
              <a:off x="10559144" y="6274115"/>
              <a:ext cx="1259999" cy="168573"/>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square" lIns="36000" tIns="0" rIns="36000" bIns="0" rtlCol="0" anchor="t">
              <a:spAutoFit/>
            </a:bodyPr>
            <a:lstStyle/>
            <a:p>
              <a:pPr algn="l"/>
              <a:fld id="{E80EE0A1-4989-4A4B-8766-59883203CEA7}" type="TxLink">
                <a:rPr lang="en-US" sz="1000" b="0" i="0" u="none" strike="noStrike">
                  <a:solidFill>
                    <a:srgbClr val="595959"/>
                  </a:solidFill>
                  <a:latin typeface="Arial"/>
                  <a:cs typeface="Arial"/>
                </a:rPr>
                <a:pPr algn="l"/>
                <a:t>0.106-1.4</a:t>
              </a:fld>
              <a:endParaRPr lang="en-GB" sz="800">
                <a:solidFill>
                  <a:schemeClr val="tx1">
                    <a:lumMod val="75000"/>
                    <a:lumOff val="25000"/>
                  </a:schemeClr>
                </a:solidFill>
              </a:endParaRPr>
            </a:p>
          </xdr:txBody>
        </xdr:sp>
      </xdr:grpSp>
      <xdr:grpSp>
        <xdr:nvGrpSpPr>
          <xdr:cNvPr id="264" name="Ramp 0">
            <a:extLst>
              <a:ext uri="{FF2B5EF4-FFF2-40B4-BE49-F238E27FC236}">
                <a16:creationId xmlns:a16="http://schemas.microsoft.com/office/drawing/2014/main" id="{00000000-0008-0000-0100-000008010000}"/>
              </a:ext>
            </a:extLst>
          </xdr:cNvPr>
          <xdr:cNvGrpSpPr/>
        </xdr:nvGrpSpPr>
        <xdr:grpSpPr>
          <a:xfrm>
            <a:off x="7092586" y="1584108"/>
            <a:ext cx="1477814" cy="195007"/>
            <a:chOff x="10346772" y="5582762"/>
            <a:chExt cx="1472371" cy="197304"/>
          </a:xfrm>
          <a:grpFill/>
        </xdr:grpSpPr>
        <xdr:sp macro="" textlink="Calculation!Q4">
          <xdr:nvSpPr>
            <xdr:cNvPr id="268" name="Legend 0">
              <a:extLst>
                <a:ext uri="{FF2B5EF4-FFF2-40B4-BE49-F238E27FC236}">
                  <a16:creationId xmlns:a16="http://schemas.microsoft.com/office/drawing/2014/main" id="{00000000-0008-0000-0100-00000C010000}"/>
                </a:ext>
              </a:extLst>
            </xdr:cNvPr>
            <xdr:cNvSpPr txBox="1"/>
          </xdr:nvSpPr>
          <xdr:spPr>
            <a:xfrm>
              <a:off x="10559143" y="5611493"/>
              <a:ext cx="1260000" cy="168573"/>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square" lIns="36000" tIns="0" rIns="36000" bIns="0" rtlCol="0" anchor="t">
              <a:spAutoFit/>
            </a:bodyPr>
            <a:lstStyle/>
            <a:p>
              <a:pPr algn="l"/>
              <a:fld id="{78E46082-CBCB-45AE-917C-33650FB43DC8}" type="TxLink">
                <a:rPr lang="en-US" sz="1000" b="0" i="0" u="none" strike="noStrike">
                  <a:solidFill>
                    <a:srgbClr val="595959"/>
                  </a:solidFill>
                  <a:latin typeface="Arial"/>
                  <a:cs typeface="Arial"/>
                </a:rPr>
                <a:pPr algn="l"/>
                <a:t>0</a:t>
              </a:fld>
              <a:endParaRPr lang="en-GB" sz="800">
                <a:solidFill>
                  <a:schemeClr val="tx1">
                    <a:lumMod val="65000"/>
                    <a:lumOff val="35000"/>
                  </a:schemeClr>
                </a:solidFill>
              </a:endParaRPr>
            </a:p>
          </xdr:txBody>
        </xdr:sp>
        <xdr:sp macro="" textlink="">
          <xdr:nvSpPr>
            <xdr:cNvPr id="269" name="ColorRampBox0">
              <a:extLst>
                <a:ext uri="{FF2B5EF4-FFF2-40B4-BE49-F238E27FC236}">
                  <a16:creationId xmlns:a16="http://schemas.microsoft.com/office/drawing/2014/main" id="{00000000-0008-0000-0100-00000D010000}"/>
                </a:ext>
              </a:extLst>
            </xdr:cNvPr>
            <xdr:cNvSpPr/>
          </xdr:nvSpPr>
          <xdr:spPr>
            <a:xfrm>
              <a:off x="10346772" y="5582762"/>
              <a:ext cx="156392" cy="160516"/>
            </a:xfrm>
            <a:prstGeom prst="rect">
              <a:avLst/>
            </a:prstGeom>
            <a:grpFill/>
            <a:ln w="6350">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nvGrpSpPr>
          <xdr:cNvPr id="265" name="Ramp 5">
            <a:extLst>
              <a:ext uri="{FF2B5EF4-FFF2-40B4-BE49-F238E27FC236}">
                <a16:creationId xmlns:a16="http://schemas.microsoft.com/office/drawing/2014/main" id="{00000000-0008-0000-0100-000009010000}"/>
              </a:ext>
            </a:extLst>
          </xdr:cNvPr>
          <xdr:cNvGrpSpPr/>
        </xdr:nvGrpSpPr>
        <xdr:grpSpPr>
          <a:xfrm>
            <a:off x="7092587" y="2468191"/>
            <a:ext cx="1477813" cy="176447"/>
            <a:chOff x="10346773" y="6466393"/>
            <a:chExt cx="1472370" cy="178526"/>
          </a:xfrm>
          <a:grpFill/>
        </xdr:grpSpPr>
        <xdr:sp macro="" textlink="">
          <xdr:nvSpPr>
            <xdr:cNvPr id="266" name="ColorRampBox5">
              <a:extLst>
                <a:ext uri="{FF2B5EF4-FFF2-40B4-BE49-F238E27FC236}">
                  <a16:creationId xmlns:a16="http://schemas.microsoft.com/office/drawing/2014/main" id="{00000000-0008-0000-0100-00000A010000}"/>
                </a:ext>
              </a:extLst>
            </xdr:cNvPr>
            <xdr:cNvSpPr/>
          </xdr:nvSpPr>
          <xdr:spPr>
            <a:xfrm>
              <a:off x="10346773" y="6466393"/>
              <a:ext cx="156840" cy="160774"/>
            </a:xfrm>
            <a:prstGeom prst="rect">
              <a:avLst/>
            </a:prstGeom>
            <a:solidFill>
              <a:srgbClr val="375623"/>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Calculation!Q9">
          <xdr:nvSpPr>
            <xdr:cNvPr id="267" name="Legend 5">
              <a:extLst>
                <a:ext uri="{FF2B5EF4-FFF2-40B4-BE49-F238E27FC236}">
                  <a16:creationId xmlns:a16="http://schemas.microsoft.com/office/drawing/2014/main" id="{00000000-0008-0000-0100-00000B010000}"/>
                </a:ext>
              </a:extLst>
            </xdr:cNvPr>
            <xdr:cNvSpPr txBox="1"/>
          </xdr:nvSpPr>
          <xdr:spPr>
            <a:xfrm>
              <a:off x="10559143" y="6476347"/>
              <a:ext cx="1260000" cy="168572"/>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square" lIns="36000" tIns="0" rIns="36000" bIns="0" rtlCol="0" anchor="t">
              <a:spAutoFit/>
            </a:bodyPr>
            <a:lstStyle/>
            <a:p>
              <a:pPr algn="l"/>
              <a:fld id="{8A82C5ED-7050-4B73-A71E-AA0D07165D3C}" type="TxLink">
                <a:rPr lang="en-US" sz="1000" b="0" i="0" u="none" strike="noStrike">
                  <a:solidFill>
                    <a:srgbClr val="595959"/>
                  </a:solidFill>
                  <a:latin typeface="Arial"/>
                  <a:cs typeface="Arial"/>
                </a:rPr>
                <a:pPr algn="l"/>
                <a:t>1.41-1.75</a:t>
              </a:fld>
              <a:endParaRPr lang="en-GB" sz="800">
                <a:solidFill>
                  <a:schemeClr val="tx1">
                    <a:lumMod val="75000"/>
                    <a:lumOff val="25000"/>
                  </a:schemeClr>
                </a:solidFill>
              </a:endParaRPr>
            </a:p>
          </xdr:txBody>
        </xdr:sp>
      </xdr:grpSp>
    </xdr:grpSp>
    <xdr:clientData/>
  </xdr:twoCellAnchor>
  <xdr:twoCellAnchor>
    <xdr:from>
      <xdr:col>3</xdr:col>
      <xdr:colOff>0</xdr:colOff>
      <xdr:row>13</xdr:row>
      <xdr:rowOff>0</xdr:rowOff>
    </xdr:from>
    <xdr:to>
      <xdr:col>9</xdr:col>
      <xdr:colOff>522155</xdr:colOff>
      <xdr:row>46</xdr:row>
      <xdr:rowOff>38573</xdr:rowOff>
    </xdr:to>
    <xdr:grpSp>
      <xdr:nvGrpSpPr>
        <xdr:cNvPr id="50" name="Group 49">
          <a:extLst>
            <a:ext uri="{FF2B5EF4-FFF2-40B4-BE49-F238E27FC236}">
              <a16:creationId xmlns:a16="http://schemas.microsoft.com/office/drawing/2014/main" id="{CD055C9B-A36D-0C47-9E72-2D5AF223FE24}"/>
            </a:ext>
          </a:extLst>
        </xdr:cNvPr>
        <xdr:cNvGrpSpPr/>
      </xdr:nvGrpSpPr>
      <xdr:grpSpPr>
        <a:xfrm>
          <a:off x="4114800" y="2336800"/>
          <a:ext cx="5627555" cy="5905973"/>
          <a:chOff x="2700115" y="1574061"/>
          <a:chExt cx="5627555" cy="5905973"/>
        </a:xfrm>
      </xdr:grpSpPr>
      <xdr:grpSp>
        <xdr:nvGrpSpPr>
          <xdr:cNvPr id="51" name="Group 50">
            <a:extLst>
              <a:ext uri="{FF2B5EF4-FFF2-40B4-BE49-F238E27FC236}">
                <a16:creationId xmlns:a16="http://schemas.microsoft.com/office/drawing/2014/main" id="{FFBA0FA0-9D9D-F241-8550-E1E4B701686E}"/>
              </a:ext>
            </a:extLst>
          </xdr:cNvPr>
          <xdr:cNvGrpSpPr/>
        </xdr:nvGrpSpPr>
        <xdr:grpSpPr>
          <a:xfrm>
            <a:off x="2700115" y="1574061"/>
            <a:ext cx="5627555" cy="5905973"/>
            <a:chOff x="2700115" y="1574061"/>
            <a:chExt cx="5627555" cy="5905973"/>
          </a:xfrm>
        </xdr:grpSpPr>
        <xdr:sp macro="" textlink="">
          <xdr:nvSpPr>
            <xdr:cNvPr id="94" name="41_1">
              <a:extLst>
                <a:ext uri="{FF2B5EF4-FFF2-40B4-BE49-F238E27FC236}">
                  <a16:creationId xmlns:a16="http://schemas.microsoft.com/office/drawing/2014/main" id="{8FECCA3B-2DD8-B44F-97B3-BB0103CAE0EF}"/>
                </a:ext>
              </a:extLst>
            </xdr:cNvPr>
            <xdr:cNvSpPr/>
          </xdr:nvSpPr>
          <xdr:spPr>
            <a:xfrm>
              <a:off x="5806093" y="5898884"/>
              <a:ext cx="1081617" cy="1581150"/>
            </a:xfrm>
            <a:custGeom>
              <a:avLst/>
              <a:gdLst>
                <a:gd name="connsiteX0" fmla="*/ 53338 w 1085850"/>
                <a:gd name="connsiteY0" fmla="*/ 700957 h 1504950"/>
                <a:gd name="connsiteX1" fmla="*/ 53338 w 1085850"/>
                <a:gd name="connsiteY1" fmla="*/ 700957 h 1504950"/>
                <a:gd name="connsiteX2" fmla="*/ 59828 w 1085850"/>
                <a:gd name="connsiteY2" fmla="*/ 686357 h 1504950"/>
                <a:gd name="connsiteX3" fmla="*/ 49540 w 1085850"/>
                <a:gd name="connsiteY3" fmla="*/ 672824 h 1504950"/>
                <a:gd name="connsiteX4" fmla="*/ 27856 w 1085850"/>
                <a:gd name="connsiteY4" fmla="*/ 656126 h 1504950"/>
                <a:gd name="connsiteX5" fmla="*/ 0 w 1085850"/>
                <a:gd name="connsiteY5" fmla="*/ 637371 h 1504950"/>
                <a:gd name="connsiteX6" fmla="*/ 0 w 1085850"/>
                <a:gd name="connsiteY6" fmla="*/ 628863 h 1504950"/>
                <a:gd name="connsiteX7" fmla="*/ 9022 w 1085850"/>
                <a:gd name="connsiteY7" fmla="*/ 624194 h 1504950"/>
                <a:gd name="connsiteX8" fmla="*/ 12662 w 1085850"/>
                <a:gd name="connsiteY8" fmla="*/ 588543 h 1504950"/>
                <a:gd name="connsiteX9" fmla="*/ 8547 w 1085850"/>
                <a:gd name="connsiteY9" fmla="*/ 527449 h 1504950"/>
                <a:gd name="connsiteX10" fmla="*/ 3640 w 1085850"/>
                <a:gd name="connsiteY10" fmla="*/ 523888 h 1504950"/>
                <a:gd name="connsiteX11" fmla="*/ 3799 w 1085850"/>
                <a:gd name="connsiteY11" fmla="*/ 509445 h 1504950"/>
                <a:gd name="connsiteX12" fmla="*/ 8863 w 1085850"/>
                <a:gd name="connsiteY12" fmla="*/ 505251 h 1504950"/>
                <a:gd name="connsiteX13" fmla="*/ 7439 w 1085850"/>
                <a:gd name="connsiteY13" fmla="*/ 466632 h 1504950"/>
                <a:gd name="connsiteX14" fmla="*/ 30705 w 1085850"/>
                <a:gd name="connsiteY14" fmla="*/ 467701 h 1504950"/>
                <a:gd name="connsiteX15" fmla="*/ 56979 w 1085850"/>
                <a:gd name="connsiteY15" fmla="*/ 457967 h 1504950"/>
                <a:gd name="connsiteX16" fmla="*/ 71857 w 1085850"/>
                <a:gd name="connsiteY16" fmla="*/ 442970 h 1504950"/>
                <a:gd name="connsiteX17" fmla="*/ 81353 w 1085850"/>
                <a:gd name="connsiteY17" fmla="*/ 445423 h 1504950"/>
                <a:gd name="connsiteX18" fmla="*/ 78188 w 1085850"/>
                <a:gd name="connsiteY18" fmla="*/ 429200 h 1504950"/>
                <a:gd name="connsiteX19" fmla="*/ 75022 w 1085850"/>
                <a:gd name="connsiteY19" fmla="*/ 419506 h 1504950"/>
                <a:gd name="connsiteX20" fmla="*/ 75180 w 1085850"/>
                <a:gd name="connsiteY20" fmla="*/ 378948 h 1504950"/>
                <a:gd name="connsiteX21" fmla="*/ 85310 w 1085850"/>
                <a:gd name="connsiteY21" fmla="*/ 377247 h 1504950"/>
                <a:gd name="connsiteX22" fmla="*/ 83569 w 1085850"/>
                <a:gd name="connsiteY22" fmla="*/ 366563 h 1504950"/>
                <a:gd name="connsiteX23" fmla="*/ 78979 w 1085850"/>
                <a:gd name="connsiteY23" fmla="*/ 357344 h 1504950"/>
                <a:gd name="connsiteX24" fmla="*/ 73756 w 1085850"/>
                <a:gd name="connsiteY24" fmla="*/ 357344 h 1504950"/>
                <a:gd name="connsiteX25" fmla="*/ 61885 w 1085850"/>
                <a:gd name="connsiteY25" fmla="*/ 341200 h 1504950"/>
                <a:gd name="connsiteX26" fmla="*/ 68849 w 1085850"/>
                <a:gd name="connsiteY26" fmla="*/ 272311 h 1504950"/>
                <a:gd name="connsiteX27" fmla="*/ 51914 w 1085850"/>
                <a:gd name="connsiteY27" fmla="*/ 269779 h 1504950"/>
                <a:gd name="connsiteX28" fmla="*/ 55713 w 1085850"/>
                <a:gd name="connsiteY28" fmla="*/ 248016 h 1504950"/>
                <a:gd name="connsiteX29" fmla="*/ 54605 w 1085850"/>
                <a:gd name="connsiteY29" fmla="*/ 217231 h 1504950"/>
                <a:gd name="connsiteX30" fmla="*/ 55238 w 1085850"/>
                <a:gd name="connsiteY30" fmla="*/ 199980 h 1504950"/>
                <a:gd name="connsiteX31" fmla="*/ 108734 w 1085850"/>
                <a:gd name="connsiteY31" fmla="*/ 195667 h 1504950"/>
                <a:gd name="connsiteX32" fmla="*/ 122346 w 1085850"/>
                <a:gd name="connsiteY32" fmla="*/ 196181 h 1504950"/>
                <a:gd name="connsiteX33" fmla="*/ 128044 w 1085850"/>
                <a:gd name="connsiteY33" fmla="*/ 199426 h 1504950"/>
                <a:gd name="connsiteX34" fmla="*/ 134850 w 1085850"/>
                <a:gd name="connsiteY34" fmla="*/ 198872 h 1504950"/>
                <a:gd name="connsiteX35" fmla="*/ 141181 w 1085850"/>
                <a:gd name="connsiteY35" fmla="*/ 194559 h 1504950"/>
                <a:gd name="connsiteX36" fmla="*/ 152576 w 1085850"/>
                <a:gd name="connsiteY36" fmla="*/ 191908 h 1504950"/>
                <a:gd name="connsiteX37" fmla="*/ 169037 w 1085850"/>
                <a:gd name="connsiteY37" fmla="*/ 188623 h 1504950"/>
                <a:gd name="connsiteX38" fmla="*/ 194044 w 1085850"/>
                <a:gd name="connsiteY38" fmla="*/ 176792 h 1504950"/>
                <a:gd name="connsiteX39" fmla="*/ 194677 w 1085850"/>
                <a:gd name="connsiteY39" fmla="*/ 140587 h 1504950"/>
                <a:gd name="connsiteX40" fmla="*/ 273181 w 1085850"/>
                <a:gd name="connsiteY40" fmla="*/ 139519 h 1504950"/>
                <a:gd name="connsiteX41" fmla="*/ 273815 w 1085850"/>
                <a:gd name="connsiteY41" fmla="*/ 129271 h 1504950"/>
                <a:gd name="connsiteX42" fmla="*/ 273181 w 1085850"/>
                <a:gd name="connsiteY42" fmla="*/ 94213 h 1504950"/>
                <a:gd name="connsiteX43" fmla="*/ 268275 w 1085850"/>
                <a:gd name="connsiteY43" fmla="*/ 34820 h 1504950"/>
                <a:gd name="connsiteX44" fmla="*/ 298189 w 1085850"/>
                <a:gd name="connsiteY44" fmla="*/ 35335 h 1504950"/>
                <a:gd name="connsiteX45" fmla="*/ 328894 w 1085850"/>
                <a:gd name="connsiteY45" fmla="*/ 40202 h 1504950"/>
                <a:gd name="connsiteX46" fmla="*/ 329527 w 1085850"/>
                <a:gd name="connsiteY46" fmla="*/ 45623 h 1504950"/>
                <a:gd name="connsiteX47" fmla="*/ 383024 w 1085850"/>
                <a:gd name="connsiteY47" fmla="*/ 39687 h 1504950"/>
                <a:gd name="connsiteX48" fmla="*/ 430823 w 1085850"/>
                <a:gd name="connsiteY48" fmla="*/ 35335 h 1504950"/>
                <a:gd name="connsiteX49" fmla="*/ 451240 w 1085850"/>
                <a:gd name="connsiteY49" fmla="*/ 40756 h 1504950"/>
                <a:gd name="connsiteX50" fmla="*/ 472291 w 1085850"/>
                <a:gd name="connsiteY50" fmla="*/ 41824 h 1504950"/>
                <a:gd name="connsiteX51" fmla="*/ 492866 w 1085850"/>
                <a:gd name="connsiteY51" fmla="*/ 40756 h 1504950"/>
                <a:gd name="connsiteX52" fmla="*/ 547946 w 1085850"/>
                <a:gd name="connsiteY52" fmla="*/ 34266 h 1504950"/>
                <a:gd name="connsiteX53" fmla="*/ 593529 w 1085850"/>
                <a:gd name="connsiteY53" fmla="*/ 36443 h 1504950"/>
                <a:gd name="connsiteX54" fmla="*/ 613471 w 1085850"/>
                <a:gd name="connsiteY54" fmla="*/ 34820 h 1504950"/>
                <a:gd name="connsiteX55" fmla="*/ 638479 w 1085850"/>
                <a:gd name="connsiteY55" fmla="*/ 35335 h 1504950"/>
                <a:gd name="connsiteX56" fmla="*/ 682321 w 1085850"/>
                <a:gd name="connsiteY56" fmla="*/ 33712 h 1504950"/>
                <a:gd name="connsiteX57" fmla="*/ 740407 w 1085850"/>
                <a:gd name="connsiteY57" fmla="*/ 33712 h 1504950"/>
                <a:gd name="connsiteX58" fmla="*/ 791530 w 1085850"/>
                <a:gd name="connsiteY58" fmla="*/ 29676 h 1504950"/>
                <a:gd name="connsiteX59" fmla="*/ 793904 w 1085850"/>
                <a:gd name="connsiteY59" fmla="*/ 30745 h 1504950"/>
                <a:gd name="connsiteX60" fmla="*/ 819386 w 1085850"/>
                <a:gd name="connsiteY60" fmla="*/ 27777 h 1504950"/>
                <a:gd name="connsiteX61" fmla="*/ 829357 w 1085850"/>
                <a:gd name="connsiteY61" fmla="*/ 26986 h 1504950"/>
                <a:gd name="connsiteX62" fmla="*/ 856106 w 1085850"/>
                <a:gd name="connsiteY62" fmla="*/ 27777 h 1504950"/>
                <a:gd name="connsiteX63" fmla="*/ 862437 w 1085850"/>
                <a:gd name="connsiteY63" fmla="*/ 27263 h 1504950"/>
                <a:gd name="connsiteX64" fmla="*/ 875732 w 1085850"/>
                <a:gd name="connsiteY64" fmla="*/ 24018 h 1504950"/>
                <a:gd name="connsiteX65" fmla="*/ 881271 w 1085850"/>
                <a:gd name="connsiteY65" fmla="*/ 20220 h 1504950"/>
                <a:gd name="connsiteX66" fmla="*/ 921631 w 1085850"/>
                <a:gd name="connsiteY66" fmla="*/ 3245 h 1504950"/>
                <a:gd name="connsiteX67" fmla="*/ 924955 w 1085850"/>
                <a:gd name="connsiteY67" fmla="*/ 0 h 1504950"/>
                <a:gd name="connsiteX68" fmla="*/ 933818 w 1085850"/>
                <a:gd name="connsiteY68" fmla="*/ 16184 h 1504950"/>
                <a:gd name="connsiteX69" fmla="*/ 941732 w 1085850"/>
                <a:gd name="connsiteY69" fmla="*/ 26155 h 1504950"/>
                <a:gd name="connsiteX70" fmla="*/ 943473 w 1085850"/>
                <a:gd name="connsiteY70" fmla="*/ 49936 h 1504950"/>
                <a:gd name="connsiteX71" fmla="*/ 948063 w 1085850"/>
                <a:gd name="connsiteY71" fmla="*/ 59630 h 1504950"/>
                <a:gd name="connsiteX72" fmla="*/ 954869 w 1085850"/>
                <a:gd name="connsiteY72" fmla="*/ 66119 h 1504950"/>
                <a:gd name="connsiteX73" fmla="*/ 959934 w 1085850"/>
                <a:gd name="connsiteY73" fmla="*/ 67187 h 1504950"/>
                <a:gd name="connsiteX74" fmla="*/ 970855 w 1085850"/>
                <a:gd name="connsiteY74" fmla="*/ 69918 h 1504950"/>
                <a:gd name="connsiteX75" fmla="*/ 979876 w 1085850"/>
                <a:gd name="connsiteY75" fmla="*/ 69364 h 1504950"/>
                <a:gd name="connsiteX76" fmla="*/ 983833 w 1085850"/>
                <a:gd name="connsiteY76" fmla="*/ 70946 h 1504950"/>
                <a:gd name="connsiteX77" fmla="*/ 1004884 w 1085850"/>
                <a:gd name="connsiteY77" fmla="*/ 81234 h 1504950"/>
                <a:gd name="connsiteX78" fmla="*/ 1024826 w 1085850"/>
                <a:gd name="connsiteY78" fmla="*/ 94727 h 1504950"/>
                <a:gd name="connsiteX79" fmla="*/ 1057272 w 1085850"/>
                <a:gd name="connsiteY79" fmla="*/ 132515 h 1504950"/>
                <a:gd name="connsiteX80" fmla="*/ 1065819 w 1085850"/>
                <a:gd name="connsiteY80" fmla="*/ 153012 h 1504950"/>
                <a:gd name="connsiteX81" fmla="*/ 1082280 w 1085850"/>
                <a:gd name="connsiteY81" fmla="*/ 166505 h 1504950"/>
                <a:gd name="connsiteX82" fmla="*/ 1086395 w 1085850"/>
                <a:gd name="connsiteY82" fmla="*/ 177821 h 1504950"/>
                <a:gd name="connsiteX83" fmla="*/ 1085762 w 1085850"/>
                <a:gd name="connsiteY83" fmla="*/ 219962 h 1504950"/>
                <a:gd name="connsiteX84" fmla="*/ 1045877 w 1085850"/>
                <a:gd name="connsiteY84" fmla="*/ 212404 h 1504950"/>
                <a:gd name="connsiteX85" fmla="*/ 1012956 w 1085850"/>
                <a:gd name="connsiteY85" fmla="*/ 204847 h 1504950"/>
                <a:gd name="connsiteX86" fmla="*/ 983833 w 1085850"/>
                <a:gd name="connsiteY86" fmla="*/ 196181 h 1504950"/>
                <a:gd name="connsiteX87" fmla="*/ 981617 w 1085850"/>
                <a:gd name="connsiteY87" fmla="*/ 188109 h 1504950"/>
                <a:gd name="connsiteX88" fmla="*/ 965157 w 1085850"/>
                <a:gd name="connsiteY88" fmla="*/ 178375 h 1504950"/>
                <a:gd name="connsiteX89" fmla="*/ 950912 w 1085850"/>
                <a:gd name="connsiteY89" fmla="*/ 169749 h 1504950"/>
                <a:gd name="connsiteX90" fmla="*/ 928121 w 1085850"/>
                <a:gd name="connsiteY90" fmla="*/ 163260 h 1504950"/>
                <a:gd name="connsiteX91" fmla="*/ 912135 w 1085850"/>
                <a:gd name="connsiteY91" fmla="*/ 152497 h 1504950"/>
                <a:gd name="connsiteX92" fmla="*/ 893933 w 1085850"/>
                <a:gd name="connsiteY92" fmla="*/ 150875 h 1504950"/>
                <a:gd name="connsiteX93" fmla="*/ 870034 w 1085850"/>
                <a:gd name="connsiteY93" fmla="*/ 158433 h 1504950"/>
                <a:gd name="connsiteX94" fmla="*/ 856422 w 1085850"/>
                <a:gd name="connsiteY94" fmla="*/ 161084 h 1504950"/>
                <a:gd name="connsiteX95" fmla="*/ 841070 w 1085850"/>
                <a:gd name="connsiteY95" fmla="*/ 160569 h 1504950"/>
                <a:gd name="connsiteX96" fmla="*/ 845027 w 1085850"/>
                <a:gd name="connsiteY96" fmla="*/ 180551 h 1504950"/>
                <a:gd name="connsiteX97" fmla="*/ 843286 w 1085850"/>
                <a:gd name="connsiteY97" fmla="*/ 212404 h 1504950"/>
                <a:gd name="connsiteX98" fmla="*/ 839962 w 1085850"/>
                <a:gd name="connsiteY98" fmla="*/ 241527 h 1504950"/>
                <a:gd name="connsiteX99" fmla="*/ 827458 w 1085850"/>
                <a:gd name="connsiteY99" fmla="*/ 277692 h 1504950"/>
                <a:gd name="connsiteX100" fmla="*/ 821760 w 1085850"/>
                <a:gd name="connsiteY100" fmla="*/ 295498 h 1504950"/>
                <a:gd name="connsiteX101" fmla="*/ 826825 w 1085850"/>
                <a:gd name="connsiteY101" fmla="*/ 308477 h 1504950"/>
                <a:gd name="connsiteX102" fmla="*/ 820019 w 1085850"/>
                <a:gd name="connsiteY102" fmla="*/ 333286 h 1504950"/>
                <a:gd name="connsiteX103" fmla="*/ 819386 w 1085850"/>
                <a:gd name="connsiteY103" fmla="*/ 356513 h 1504950"/>
                <a:gd name="connsiteX104" fmla="*/ 813213 w 1085850"/>
                <a:gd name="connsiteY104" fmla="*/ 375387 h 1504950"/>
                <a:gd name="connsiteX105" fmla="*/ 810998 w 1085850"/>
                <a:gd name="connsiteY105" fmla="*/ 396992 h 1504950"/>
                <a:gd name="connsiteX106" fmla="*/ 812105 w 1085850"/>
                <a:gd name="connsiteY106" fmla="*/ 443959 h 1504950"/>
                <a:gd name="connsiteX107" fmla="*/ 810998 w 1085850"/>
                <a:gd name="connsiteY107" fmla="*/ 488751 h 1504950"/>
                <a:gd name="connsiteX108" fmla="*/ 811472 w 1085850"/>
                <a:gd name="connsiteY108" fmla="*/ 535165 h 1504950"/>
                <a:gd name="connsiteX109" fmla="*/ 810998 w 1085850"/>
                <a:gd name="connsiteY109" fmla="*/ 543277 h 1504950"/>
                <a:gd name="connsiteX110" fmla="*/ 813688 w 1085850"/>
                <a:gd name="connsiteY110" fmla="*/ 567018 h 1504950"/>
                <a:gd name="connsiteX111" fmla="*/ 813688 w 1085850"/>
                <a:gd name="connsiteY111" fmla="*/ 575129 h 1504950"/>
                <a:gd name="connsiteX112" fmla="*/ 836005 w 1085850"/>
                <a:gd name="connsiteY112" fmla="*/ 596694 h 1504950"/>
                <a:gd name="connsiteX113" fmla="*/ 841070 w 1085850"/>
                <a:gd name="connsiteY113" fmla="*/ 601601 h 1504950"/>
                <a:gd name="connsiteX114" fmla="*/ 847875 w 1085850"/>
                <a:gd name="connsiteY114" fmla="*/ 620989 h 1504950"/>
                <a:gd name="connsiteX115" fmla="*/ 868451 w 1085850"/>
                <a:gd name="connsiteY115" fmla="*/ 647461 h 1504950"/>
                <a:gd name="connsiteX116" fmla="*/ 881430 w 1085850"/>
                <a:gd name="connsiteY116" fmla="*/ 665267 h 1504950"/>
                <a:gd name="connsiteX117" fmla="*/ 892825 w 1085850"/>
                <a:gd name="connsiteY117" fmla="*/ 702501 h 1504950"/>
                <a:gd name="connsiteX118" fmla="*/ 904221 w 1085850"/>
                <a:gd name="connsiteY118" fmla="*/ 726796 h 1504950"/>
                <a:gd name="connsiteX119" fmla="*/ 904854 w 1085850"/>
                <a:gd name="connsiteY119" fmla="*/ 774871 h 1504950"/>
                <a:gd name="connsiteX120" fmla="*/ 896307 w 1085850"/>
                <a:gd name="connsiteY120" fmla="*/ 789987 h 1504950"/>
                <a:gd name="connsiteX121" fmla="*/ 919099 w 1085850"/>
                <a:gd name="connsiteY121" fmla="*/ 807793 h 1504950"/>
                <a:gd name="connsiteX122" fmla="*/ 918466 w 1085850"/>
                <a:gd name="connsiteY122" fmla="*/ 839091 h 1504950"/>
                <a:gd name="connsiteX123" fmla="*/ 905962 w 1085850"/>
                <a:gd name="connsiteY123" fmla="*/ 865009 h 1504950"/>
                <a:gd name="connsiteX124" fmla="*/ 902005 w 1085850"/>
                <a:gd name="connsiteY124" fmla="*/ 906595 h 1504950"/>
                <a:gd name="connsiteX125" fmla="*/ 906595 w 1085850"/>
                <a:gd name="connsiteY125" fmla="*/ 962189 h 1504950"/>
                <a:gd name="connsiteX126" fmla="*/ 918466 w 1085850"/>
                <a:gd name="connsiteY126" fmla="*/ 1020474 h 1504950"/>
                <a:gd name="connsiteX127" fmla="*/ 923056 w 1085850"/>
                <a:gd name="connsiteY127" fmla="*/ 1064751 h 1504950"/>
                <a:gd name="connsiteX128" fmla="*/ 915617 w 1085850"/>
                <a:gd name="connsiteY128" fmla="*/ 1109028 h 1504950"/>
                <a:gd name="connsiteX129" fmla="*/ 913876 w 1085850"/>
                <a:gd name="connsiteY129" fmla="*/ 1143057 h 1504950"/>
                <a:gd name="connsiteX130" fmla="*/ 916725 w 1085850"/>
                <a:gd name="connsiteY130" fmla="*/ 1178154 h 1504950"/>
                <a:gd name="connsiteX131" fmla="*/ 920682 w 1085850"/>
                <a:gd name="connsiteY131" fmla="*/ 1267738 h 1504950"/>
                <a:gd name="connsiteX132" fmla="*/ 919574 w 1085850"/>
                <a:gd name="connsiteY132" fmla="*/ 1294723 h 1504950"/>
                <a:gd name="connsiteX133" fmla="*/ 966265 w 1085850"/>
                <a:gd name="connsiteY133" fmla="*/ 1401638 h 1504950"/>
                <a:gd name="connsiteX134" fmla="*/ 978768 w 1085850"/>
                <a:gd name="connsiteY134" fmla="*/ 1401638 h 1504950"/>
                <a:gd name="connsiteX135" fmla="*/ 967373 w 1085850"/>
                <a:gd name="connsiteY135" fmla="*/ 1451296 h 1504950"/>
                <a:gd name="connsiteX136" fmla="*/ 960567 w 1085850"/>
                <a:gd name="connsiteY136" fmla="*/ 1451296 h 1504950"/>
                <a:gd name="connsiteX137" fmla="*/ 940149 w 1085850"/>
                <a:gd name="connsiteY137" fmla="*/ 1506376 h 1504950"/>
                <a:gd name="connsiteX138" fmla="*/ 866077 w 1085850"/>
                <a:gd name="connsiteY138" fmla="*/ 1492368 h 1504950"/>
                <a:gd name="connsiteX139" fmla="*/ 837588 w 1085850"/>
                <a:gd name="connsiteY139" fmla="*/ 1492368 h 1504950"/>
                <a:gd name="connsiteX140" fmla="*/ 743256 w 1085850"/>
                <a:gd name="connsiteY140" fmla="*/ 1488056 h 1504950"/>
                <a:gd name="connsiteX141" fmla="*/ 729486 w 1085850"/>
                <a:gd name="connsiteY141" fmla="*/ 1482635 h 1504950"/>
                <a:gd name="connsiteX142" fmla="*/ 691975 w 1085850"/>
                <a:gd name="connsiteY142" fmla="*/ 1491261 h 1504950"/>
                <a:gd name="connsiteX143" fmla="*/ 680580 w 1085850"/>
                <a:gd name="connsiteY143" fmla="*/ 1491261 h 1504950"/>
                <a:gd name="connsiteX144" fmla="*/ 647658 w 1085850"/>
                <a:gd name="connsiteY144" fmla="*/ 1504239 h 1504950"/>
                <a:gd name="connsiteX145" fmla="*/ 613471 w 1085850"/>
                <a:gd name="connsiteY145" fmla="*/ 1469696 h 1504950"/>
                <a:gd name="connsiteX146" fmla="*/ 589572 w 1085850"/>
                <a:gd name="connsiteY146" fmla="*/ 1443739 h 1504950"/>
                <a:gd name="connsiteX147" fmla="*/ 573586 w 1085850"/>
                <a:gd name="connsiteY147" fmla="*/ 1401638 h 1504950"/>
                <a:gd name="connsiteX148" fmla="*/ 556492 w 1085850"/>
                <a:gd name="connsiteY148" fmla="*/ 1349803 h 1504950"/>
                <a:gd name="connsiteX149" fmla="*/ 489384 w 1085850"/>
                <a:gd name="connsiteY149" fmla="*/ 1270982 h 1504950"/>
                <a:gd name="connsiteX150" fmla="*/ 423384 w 1085850"/>
                <a:gd name="connsiteY150" fmla="*/ 1194338 h 1504950"/>
                <a:gd name="connsiteX151" fmla="*/ 405182 w 1085850"/>
                <a:gd name="connsiteY151" fmla="*/ 1165176 h 1504950"/>
                <a:gd name="connsiteX152" fmla="*/ 388089 w 1085850"/>
                <a:gd name="connsiteY152" fmla="*/ 1112273 h 1504950"/>
                <a:gd name="connsiteX153" fmla="*/ 353901 w 1085850"/>
                <a:gd name="connsiteY153" fmla="*/ 1039902 h 1504950"/>
                <a:gd name="connsiteX154" fmla="*/ 340290 w 1085850"/>
                <a:gd name="connsiteY154" fmla="*/ 1023718 h 1504950"/>
                <a:gd name="connsiteX155" fmla="*/ 311800 w 1085850"/>
                <a:gd name="connsiteY155" fmla="*/ 994556 h 1504950"/>
                <a:gd name="connsiteX156" fmla="*/ 306261 w 1085850"/>
                <a:gd name="connsiteY156" fmla="*/ 969747 h 1504950"/>
                <a:gd name="connsiteX157" fmla="*/ 298189 w 1085850"/>
                <a:gd name="connsiteY157" fmla="*/ 937340 h 1504950"/>
                <a:gd name="connsiteX158" fmla="*/ 295973 w 1085850"/>
                <a:gd name="connsiteY158" fmla="*/ 910354 h 1504950"/>
                <a:gd name="connsiteX159" fmla="*/ 287901 w 1085850"/>
                <a:gd name="connsiteY159" fmla="*/ 889858 h 1504950"/>
                <a:gd name="connsiteX160" fmla="*/ 293599 w 1085850"/>
                <a:gd name="connsiteY160" fmla="*/ 875811 h 1504950"/>
                <a:gd name="connsiteX161" fmla="*/ 291383 w 1085850"/>
                <a:gd name="connsiteY161" fmla="*/ 842336 h 1504950"/>
                <a:gd name="connsiteX162" fmla="*/ 285685 w 1085850"/>
                <a:gd name="connsiteY162" fmla="*/ 801303 h 1504950"/>
                <a:gd name="connsiteX163" fmla="*/ 275397 w 1085850"/>
                <a:gd name="connsiteY163" fmla="*/ 762447 h 1504950"/>
                <a:gd name="connsiteX164" fmla="*/ 269699 w 1085850"/>
                <a:gd name="connsiteY164" fmla="*/ 745155 h 1504950"/>
                <a:gd name="connsiteX165" fmla="*/ 242476 w 1085850"/>
                <a:gd name="connsiteY165" fmla="*/ 716033 h 1504950"/>
                <a:gd name="connsiteX166" fmla="*/ 224275 w 1085850"/>
                <a:gd name="connsiteY166" fmla="*/ 690116 h 1504950"/>
                <a:gd name="connsiteX167" fmla="*/ 196893 w 1085850"/>
                <a:gd name="connsiteY167" fmla="*/ 717101 h 1504950"/>
                <a:gd name="connsiteX168" fmla="*/ 176476 w 1085850"/>
                <a:gd name="connsiteY168" fmla="*/ 747332 h 1504950"/>
                <a:gd name="connsiteX169" fmla="*/ 142289 w 1085850"/>
                <a:gd name="connsiteY169" fmla="*/ 749468 h 1504950"/>
                <a:gd name="connsiteX170" fmla="*/ 133267 w 1085850"/>
                <a:gd name="connsiteY170" fmla="*/ 747332 h 1504950"/>
                <a:gd name="connsiteX171" fmla="*/ 125195 w 1085850"/>
                <a:gd name="connsiteY171" fmla="*/ 734353 h 1504950"/>
                <a:gd name="connsiteX172" fmla="*/ 95598 w 1085850"/>
                <a:gd name="connsiteY172" fmla="*/ 721414 h 1504950"/>
                <a:gd name="connsiteX173" fmla="*/ 53338 w 1085850"/>
                <a:gd name="connsiteY173" fmla="*/ 700957 h 1504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 ang="0">
                  <a:pos x="connsiteX169" y="connsiteY169"/>
                </a:cxn>
                <a:cxn ang="0">
                  <a:pos x="connsiteX170" y="connsiteY170"/>
                </a:cxn>
                <a:cxn ang="0">
                  <a:pos x="connsiteX171" y="connsiteY171"/>
                </a:cxn>
                <a:cxn ang="0">
                  <a:pos x="connsiteX172" y="connsiteY172"/>
                </a:cxn>
                <a:cxn ang="0">
                  <a:pos x="connsiteX173" y="connsiteY173"/>
                </a:cxn>
              </a:cxnLst>
              <a:rect l="l" t="t" r="r" b="b"/>
              <a:pathLst>
                <a:path w="1085850" h="1504950">
                  <a:moveTo>
                    <a:pt x="53338" y="700957"/>
                  </a:moveTo>
                  <a:lnTo>
                    <a:pt x="53338" y="700957"/>
                  </a:lnTo>
                  <a:lnTo>
                    <a:pt x="59828" y="686357"/>
                  </a:lnTo>
                  <a:lnTo>
                    <a:pt x="49540" y="672824"/>
                  </a:lnTo>
                  <a:lnTo>
                    <a:pt x="27856" y="656126"/>
                  </a:lnTo>
                  <a:lnTo>
                    <a:pt x="0" y="637371"/>
                  </a:lnTo>
                  <a:lnTo>
                    <a:pt x="0" y="628863"/>
                  </a:lnTo>
                  <a:lnTo>
                    <a:pt x="9022" y="624194"/>
                  </a:lnTo>
                  <a:lnTo>
                    <a:pt x="12662" y="588543"/>
                  </a:lnTo>
                  <a:lnTo>
                    <a:pt x="8547" y="527449"/>
                  </a:lnTo>
                  <a:lnTo>
                    <a:pt x="3640" y="523888"/>
                  </a:lnTo>
                  <a:lnTo>
                    <a:pt x="3799" y="509445"/>
                  </a:lnTo>
                  <a:lnTo>
                    <a:pt x="8863" y="505251"/>
                  </a:lnTo>
                  <a:lnTo>
                    <a:pt x="7439" y="466632"/>
                  </a:lnTo>
                  <a:lnTo>
                    <a:pt x="30705" y="467701"/>
                  </a:lnTo>
                  <a:lnTo>
                    <a:pt x="56979" y="457967"/>
                  </a:lnTo>
                  <a:lnTo>
                    <a:pt x="71857" y="442970"/>
                  </a:lnTo>
                  <a:lnTo>
                    <a:pt x="81353" y="445423"/>
                  </a:lnTo>
                  <a:lnTo>
                    <a:pt x="78188" y="429200"/>
                  </a:lnTo>
                  <a:lnTo>
                    <a:pt x="75022" y="419506"/>
                  </a:lnTo>
                  <a:lnTo>
                    <a:pt x="75180" y="378948"/>
                  </a:lnTo>
                  <a:lnTo>
                    <a:pt x="85310" y="377247"/>
                  </a:lnTo>
                  <a:lnTo>
                    <a:pt x="83569" y="366563"/>
                  </a:lnTo>
                  <a:lnTo>
                    <a:pt x="78979" y="357344"/>
                  </a:lnTo>
                  <a:lnTo>
                    <a:pt x="73756" y="357344"/>
                  </a:lnTo>
                  <a:lnTo>
                    <a:pt x="61885" y="341200"/>
                  </a:lnTo>
                  <a:lnTo>
                    <a:pt x="68849" y="272311"/>
                  </a:lnTo>
                  <a:lnTo>
                    <a:pt x="51914" y="269779"/>
                  </a:lnTo>
                  <a:lnTo>
                    <a:pt x="55713" y="248016"/>
                  </a:lnTo>
                  <a:lnTo>
                    <a:pt x="54605" y="217231"/>
                  </a:lnTo>
                  <a:lnTo>
                    <a:pt x="55238" y="199980"/>
                  </a:lnTo>
                  <a:lnTo>
                    <a:pt x="108734" y="195667"/>
                  </a:lnTo>
                  <a:lnTo>
                    <a:pt x="122346" y="196181"/>
                  </a:lnTo>
                  <a:lnTo>
                    <a:pt x="128044" y="199426"/>
                  </a:lnTo>
                  <a:lnTo>
                    <a:pt x="134850" y="198872"/>
                  </a:lnTo>
                  <a:lnTo>
                    <a:pt x="141181" y="194559"/>
                  </a:lnTo>
                  <a:lnTo>
                    <a:pt x="152576" y="191908"/>
                  </a:lnTo>
                  <a:lnTo>
                    <a:pt x="169037" y="188623"/>
                  </a:lnTo>
                  <a:lnTo>
                    <a:pt x="194044" y="176792"/>
                  </a:lnTo>
                  <a:lnTo>
                    <a:pt x="194677" y="140587"/>
                  </a:lnTo>
                  <a:lnTo>
                    <a:pt x="273181" y="139519"/>
                  </a:lnTo>
                  <a:lnTo>
                    <a:pt x="273815" y="129271"/>
                  </a:lnTo>
                  <a:lnTo>
                    <a:pt x="273181" y="94213"/>
                  </a:lnTo>
                  <a:lnTo>
                    <a:pt x="268275" y="34820"/>
                  </a:lnTo>
                  <a:lnTo>
                    <a:pt x="298189" y="35335"/>
                  </a:lnTo>
                  <a:lnTo>
                    <a:pt x="328894" y="40202"/>
                  </a:lnTo>
                  <a:lnTo>
                    <a:pt x="329527" y="45623"/>
                  </a:lnTo>
                  <a:lnTo>
                    <a:pt x="383024" y="39687"/>
                  </a:lnTo>
                  <a:lnTo>
                    <a:pt x="430823" y="35335"/>
                  </a:lnTo>
                  <a:lnTo>
                    <a:pt x="451240" y="40756"/>
                  </a:lnTo>
                  <a:lnTo>
                    <a:pt x="472291" y="41824"/>
                  </a:lnTo>
                  <a:lnTo>
                    <a:pt x="492866" y="40756"/>
                  </a:lnTo>
                  <a:lnTo>
                    <a:pt x="547946" y="34266"/>
                  </a:lnTo>
                  <a:lnTo>
                    <a:pt x="593529" y="36443"/>
                  </a:lnTo>
                  <a:lnTo>
                    <a:pt x="613471" y="34820"/>
                  </a:lnTo>
                  <a:lnTo>
                    <a:pt x="638479" y="35335"/>
                  </a:lnTo>
                  <a:lnTo>
                    <a:pt x="682321" y="33712"/>
                  </a:lnTo>
                  <a:lnTo>
                    <a:pt x="740407" y="33712"/>
                  </a:lnTo>
                  <a:lnTo>
                    <a:pt x="791530" y="29676"/>
                  </a:lnTo>
                  <a:lnTo>
                    <a:pt x="793904" y="30745"/>
                  </a:lnTo>
                  <a:lnTo>
                    <a:pt x="819386" y="27777"/>
                  </a:lnTo>
                  <a:lnTo>
                    <a:pt x="829357" y="26986"/>
                  </a:lnTo>
                  <a:lnTo>
                    <a:pt x="856106" y="27777"/>
                  </a:lnTo>
                  <a:lnTo>
                    <a:pt x="862437" y="27263"/>
                  </a:lnTo>
                  <a:lnTo>
                    <a:pt x="875732" y="24018"/>
                  </a:lnTo>
                  <a:lnTo>
                    <a:pt x="881271" y="20220"/>
                  </a:lnTo>
                  <a:lnTo>
                    <a:pt x="921631" y="3245"/>
                  </a:lnTo>
                  <a:lnTo>
                    <a:pt x="924955" y="0"/>
                  </a:lnTo>
                  <a:lnTo>
                    <a:pt x="933818" y="16184"/>
                  </a:lnTo>
                  <a:lnTo>
                    <a:pt x="941732" y="26155"/>
                  </a:lnTo>
                  <a:lnTo>
                    <a:pt x="943473" y="49936"/>
                  </a:lnTo>
                  <a:lnTo>
                    <a:pt x="948063" y="59630"/>
                  </a:lnTo>
                  <a:lnTo>
                    <a:pt x="954869" y="66119"/>
                  </a:lnTo>
                  <a:lnTo>
                    <a:pt x="959934" y="67187"/>
                  </a:lnTo>
                  <a:lnTo>
                    <a:pt x="970855" y="69918"/>
                  </a:lnTo>
                  <a:lnTo>
                    <a:pt x="979876" y="69364"/>
                  </a:lnTo>
                  <a:lnTo>
                    <a:pt x="983833" y="70946"/>
                  </a:lnTo>
                  <a:lnTo>
                    <a:pt x="1004884" y="81234"/>
                  </a:lnTo>
                  <a:lnTo>
                    <a:pt x="1024826" y="94727"/>
                  </a:lnTo>
                  <a:lnTo>
                    <a:pt x="1057272" y="132515"/>
                  </a:lnTo>
                  <a:lnTo>
                    <a:pt x="1065819" y="153012"/>
                  </a:lnTo>
                  <a:lnTo>
                    <a:pt x="1082280" y="166505"/>
                  </a:lnTo>
                  <a:lnTo>
                    <a:pt x="1086395" y="177821"/>
                  </a:lnTo>
                  <a:lnTo>
                    <a:pt x="1085762" y="219962"/>
                  </a:lnTo>
                  <a:lnTo>
                    <a:pt x="1045877" y="212404"/>
                  </a:lnTo>
                  <a:lnTo>
                    <a:pt x="1012956" y="204847"/>
                  </a:lnTo>
                  <a:lnTo>
                    <a:pt x="983833" y="196181"/>
                  </a:lnTo>
                  <a:lnTo>
                    <a:pt x="981617" y="188109"/>
                  </a:lnTo>
                  <a:lnTo>
                    <a:pt x="965157" y="178375"/>
                  </a:lnTo>
                  <a:lnTo>
                    <a:pt x="950912" y="169749"/>
                  </a:lnTo>
                  <a:lnTo>
                    <a:pt x="928121" y="163260"/>
                  </a:lnTo>
                  <a:lnTo>
                    <a:pt x="912135" y="152497"/>
                  </a:lnTo>
                  <a:lnTo>
                    <a:pt x="893933" y="150875"/>
                  </a:lnTo>
                  <a:lnTo>
                    <a:pt x="870034" y="158433"/>
                  </a:lnTo>
                  <a:lnTo>
                    <a:pt x="856422" y="161084"/>
                  </a:lnTo>
                  <a:lnTo>
                    <a:pt x="841070" y="160569"/>
                  </a:lnTo>
                  <a:lnTo>
                    <a:pt x="845027" y="180551"/>
                  </a:lnTo>
                  <a:lnTo>
                    <a:pt x="843286" y="212404"/>
                  </a:lnTo>
                  <a:lnTo>
                    <a:pt x="839962" y="241527"/>
                  </a:lnTo>
                  <a:lnTo>
                    <a:pt x="827458" y="277692"/>
                  </a:lnTo>
                  <a:lnTo>
                    <a:pt x="821760" y="295498"/>
                  </a:lnTo>
                  <a:lnTo>
                    <a:pt x="826825" y="308477"/>
                  </a:lnTo>
                  <a:lnTo>
                    <a:pt x="820019" y="333286"/>
                  </a:lnTo>
                  <a:lnTo>
                    <a:pt x="819386" y="356513"/>
                  </a:lnTo>
                  <a:lnTo>
                    <a:pt x="813213" y="375387"/>
                  </a:lnTo>
                  <a:lnTo>
                    <a:pt x="810998" y="396992"/>
                  </a:lnTo>
                  <a:lnTo>
                    <a:pt x="812105" y="443959"/>
                  </a:lnTo>
                  <a:lnTo>
                    <a:pt x="810998" y="488751"/>
                  </a:lnTo>
                  <a:lnTo>
                    <a:pt x="811472" y="535165"/>
                  </a:lnTo>
                  <a:lnTo>
                    <a:pt x="810998" y="543277"/>
                  </a:lnTo>
                  <a:lnTo>
                    <a:pt x="813688" y="567018"/>
                  </a:lnTo>
                  <a:lnTo>
                    <a:pt x="813688" y="575129"/>
                  </a:lnTo>
                  <a:lnTo>
                    <a:pt x="836005" y="596694"/>
                  </a:lnTo>
                  <a:lnTo>
                    <a:pt x="841070" y="601601"/>
                  </a:lnTo>
                  <a:lnTo>
                    <a:pt x="847875" y="620989"/>
                  </a:lnTo>
                  <a:lnTo>
                    <a:pt x="868451" y="647461"/>
                  </a:lnTo>
                  <a:lnTo>
                    <a:pt x="881430" y="665267"/>
                  </a:lnTo>
                  <a:lnTo>
                    <a:pt x="892825" y="702501"/>
                  </a:lnTo>
                  <a:lnTo>
                    <a:pt x="904221" y="726796"/>
                  </a:lnTo>
                  <a:lnTo>
                    <a:pt x="904854" y="774871"/>
                  </a:lnTo>
                  <a:lnTo>
                    <a:pt x="896307" y="789987"/>
                  </a:lnTo>
                  <a:lnTo>
                    <a:pt x="919099" y="807793"/>
                  </a:lnTo>
                  <a:lnTo>
                    <a:pt x="918466" y="839091"/>
                  </a:lnTo>
                  <a:lnTo>
                    <a:pt x="905962" y="865009"/>
                  </a:lnTo>
                  <a:lnTo>
                    <a:pt x="902005" y="906595"/>
                  </a:lnTo>
                  <a:lnTo>
                    <a:pt x="906595" y="962189"/>
                  </a:lnTo>
                  <a:lnTo>
                    <a:pt x="918466" y="1020474"/>
                  </a:lnTo>
                  <a:lnTo>
                    <a:pt x="923056" y="1064751"/>
                  </a:lnTo>
                  <a:lnTo>
                    <a:pt x="915617" y="1109028"/>
                  </a:lnTo>
                  <a:lnTo>
                    <a:pt x="913876" y="1143057"/>
                  </a:lnTo>
                  <a:lnTo>
                    <a:pt x="916725" y="1178154"/>
                  </a:lnTo>
                  <a:lnTo>
                    <a:pt x="920682" y="1267738"/>
                  </a:lnTo>
                  <a:lnTo>
                    <a:pt x="919574" y="1294723"/>
                  </a:lnTo>
                  <a:lnTo>
                    <a:pt x="966265" y="1401638"/>
                  </a:lnTo>
                  <a:lnTo>
                    <a:pt x="978768" y="1401638"/>
                  </a:lnTo>
                  <a:lnTo>
                    <a:pt x="967373" y="1451296"/>
                  </a:lnTo>
                  <a:lnTo>
                    <a:pt x="960567" y="1451296"/>
                  </a:lnTo>
                  <a:lnTo>
                    <a:pt x="940149" y="1506376"/>
                  </a:lnTo>
                  <a:lnTo>
                    <a:pt x="866077" y="1492368"/>
                  </a:lnTo>
                  <a:lnTo>
                    <a:pt x="837588" y="1492368"/>
                  </a:lnTo>
                  <a:lnTo>
                    <a:pt x="743256" y="1488056"/>
                  </a:lnTo>
                  <a:lnTo>
                    <a:pt x="729486" y="1482635"/>
                  </a:lnTo>
                  <a:lnTo>
                    <a:pt x="691975" y="1491261"/>
                  </a:lnTo>
                  <a:lnTo>
                    <a:pt x="680580" y="1491261"/>
                  </a:lnTo>
                  <a:lnTo>
                    <a:pt x="647658" y="1504239"/>
                  </a:lnTo>
                  <a:lnTo>
                    <a:pt x="613471" y="1469696"/>
                  </a:lnTo>
                  <a:lnTo>
                    <a:pt x="589572" y="1443739"/>
                  </a:lnTo>
                  <a:lnTo>
                    <a:pt x="573586" y="1401638"/>
                  </a:lnTo>
                  <a:lnTo>
                    <a:pt x="556492" y="1349803"/>
                  </a:lnTo>
                  <a:lnTo>
                    <a:pt x="489384" y="1270982"/>
                  </a:lnTo>
                  <a:lnTo>
                    <a:pt x="423384" y="1194338"/>
                  </a:lnTo>
                  <a:lnTo>
                    <a:pt x="405182" y="1165176"/>
                  </a:lnTo>
                  <a:lnTo>
                    <a:pt x="388089" y="1112273"/>
                  </a:lnTo>
                  <a:lnTo>
                    <a:pt x="353901" y="1039902"/>
                  </a:lnTo>
                  <a:lnTo>
                    <a:pt x="340290" y="1023718"/>
                  </a:lnTo>
                  <a:lnTo>
                    <a:pt x="311800" y="994556"/>
                  </a:lnTo>
                  <a:lnTo>
                    <a:pt x="306261" y="969747"/>
                  </a:lnTo>
                  <a:lnTo>
                    <a:pt x="298189" y="937340"/>
                  </a:lnTo>
                  <a:lnTo>
                    <a:pt x="295973" y="910354"/>
                  </a:lnTo>
                  <a:lnTo>
                    <a:pt x="287901" y="889858"/>
                  </a:lnTo>
                  <a:lnTo>
                    <a:pt x="293599" y="875811"/>
                  </a:lnTo>
                  <a:lnTo>
                    <a:pt x="291383" y="842336"/>
                  </a:lnTo>
                  <a:lnTo>
                    <a:pt x="285685" y="801303"/>
                  </a:lnTo>
                  <a:lnTo>
                    <a:pt x="275397" y="762447"/>
                  </a:lnTo>
                  <a:lnTo>
                    <a:pt x="269699" y="745155"/>
                  </a:lnTo>
                  <a:lnTo>
                    <a:pt x="242476" y="716033"/>
                  </a:lnTo>
                  <a:lnTo>
                    <a:pt x="224275" y="690116"/>
                  </a:lnTo>
                  <a:lnTo>
                    <a:pt x="196893" y="717101"/>
                  </a:lnTo>
                  <a:lnTo>
                    <a:pt x="176476" y="747332"/>
                  </a:lnTo>
                  <a:lnTo>
                    <a:pt x="142289" y="749468"/>
                  </a:lnTo>
                  <a:lnTo>
                    <a:pt x="133267" y="747332"/>
                  </a:lnTo>
                  <a:lnTo>
                    <a:pt x="125195" y="734353"/>
                  </a:lnTo>
                  <a:lnTo>
                    <a:pt x="95598" y="721414"/>
                  </a:lnTo>
                  <a:lnTo>
                    <a:pt x="53338" y="700957"/>
                  </a:lnTo>
                </a:path>
              </a:pathLst>
            </a:custGeom>
            <a:solidFill>
              <a:srgbClr val="C6E0B4"/>
            </a:solidFill>
            <a:ln w="5132" cap="flat">
              <a:solidFill>
                <a:srgbClr val="030000"/>
              </a:solidFill>
              <a:prstDash val="solid"/>
              <a:miter/>
            </a:ln>
          </xdr:spPr>
          <xdr:txBody>
            <a:bodyPr rtlCol="0" anchor="ctr"/>
            <a:lstStyle/>
            <a:p>
              <a:endParaRPr lang="en-US"/>
            </a:p>
          </xdr:txBody>
        </xdr:sp>
        <xdr:sp macro="" textlink="">
          <xdr:nvSpPr>
            <xdr:cNvPr id="95" name="40_1">
              <a:extLst>
                <a:ext uri="{FF2B5EF4-FFF2-40B4-BE49-F238E27FC236}">
                  <a16:creationId xmlns:a16="http://schemas.microsoft.com/office/drawing/2014/main" id="{8229554C-DB2B-2344-932E-8D0D605C5539}"/>
                </a:ext>
              </a:extLst>
            </xdr:cNvPr>
            <xdr:cNvSpPr/>
          </xdr:nvSpPr>
          <xdr:spPr>
            <a:xfrm>
              <a:off x="5071818" y="6031200"/>
              <a:ext cx="681567" cy="663575"/>
            </a:xfrm>
            <a:custGeom>
              <a:avLst/>
              <a:gdLst>
                <a:gd name="connsiteX0" fmla="*/ 43525 w 685800"/>
                <a:gd name="connsiteY0" fmla="*/ 77198 h 638175"/>
                <a:gd name="connsiteX1" fmla="*/ 43525 w 685800"/>
                <a:gd name="connsiteY1" fmla="*/ 77198 h 638175"/>
                <a:gd name="connsiteX2" fmla="*/ 49382 w 685800"/>
                <a:gd name="connsiteY2" fmla="*/ 78267 h 638175"/>
                <a:gd name="connsiteX3" fmla="*/ 57928 w 685800"/>
                <a:gd name="connsiteY3" fmla="*/ 77752 h 638175"/>
                <a:gd name="connsiteX4" fmla="*/ 72173 w 685800"/>
                <a:gd name="connsiteY4" fmla="*/ 76644 h 638175"/>
                <a:gd name="connsiteX5" fmla="*/ 75972 w 685800"/>
                <a:gd name="connsiteY5" fmla="*/ 73439 h 638175"/>
                <a:gd name="connsiteX6" fmla="*/ 89900 w 685800"/>
                <a:gd name="connsiteY6" fmla="*/ 72608 h 638175"/>
                <a:gd name="connsiteX7" fmla="*/ 108734 w 685800"/>
                <a:gd name="connsiteY7" fmla="*/ 71817 h 638175"/>
                <a:gd name="connsiteX8" fmla="*/ 108734 w 685800"/>
                <a:gd name="connsiteY8" fmla="*/ 69799 h 638175"/>
                <a:gd name="connsiteX9" fmla="*/ 112533 w 685800"/>
                <a:gd name="connsiteY9" fmla="*/ 68572 h 638175"/>
                <a:gd name="connsiteX10" fmla="*/ 113166 w 685800"/>
                <a:gd name="connsiteY10" fmla="*/ 65328 h 638175"/>
                <a:gd name="connsiteX11" fmla="*/ 135958 w 685800"/>
                <a:gd name="connsiteY11" fmla="*/ 63705 h 638175"/>
                <a:gd name="connsiteX12" fmla="*/ 147828 w 685800"/>
                <a:gd name="connsiteY12" fmla="*/ 62360 h 638175"/>
                <a:gd name="connsiteX13" fmla="*/ 172994 w 685800"/>
                <a:gd name="connsiteY13" fmla="*/ 59392 h 638175"/>
                <a:gd name="connsiteX14" fmla="*/ 173152 w 685800"/>
                <a:gd name="connsiteY14" fmla="*/ 68572 h 638175"/>
                <a:gd name="connsiteX15" fmla="*/ 174893 w 685800"/>
                <a:gd name="connsiteY15" fmla="*/ 77752 h 638175"/>
                <a:gd name="connsiteX16" fmla="*/ 180908 w 685800"/>
                <a:gd name="connsiteY16" fmla="*/ 97734 h 638175"/>
                <a:gd name="connsiteX17" fmla="*/ 184864 w 685800"/>
                <a:gd name="connsiteY17" fmla="*/ 100939 h 638175"/>
                <a:gd name="connsiteX18" fmla="*/ 194519 w 685800"/>
                <a:gd name="connsiteY18" fmla="*/ 97734 h 638175"/>
                <a:gd name="connsiteX19" fmla="*/ 198634 w 685800"/>
                <a:gd name="connsiteY19" fmla="*/ 97260 h 638175"/>
                <a:gd name="connsiteX20" fmla="*/ 208764 w 685800"/>
                <a:gd name="connsiteY20" fmla="*/ 96112 h 638175"/>
                <a:gd name="connsiteX21" fmla="*/ 216203 w 685800"/>
                <a:gd name="connsiteY21" fmla="*/ 95558 h 638175"/>
                <a:gd name="connsiteX22" fmla="*/ 223009 w 685800"/>
                <a:gd name="connsiteY22" fmla="*/ 94490 h 638175"/>
                <a:gd name="connsiteX23" fmla="*/ 237728 w 685800"/>
                <a:gd name="connsiteY23" fmla="*/ 93382 h 638175"/>
                <a:gd name="connsiteX24" fmla="*/ 245800 w 685800"/>
                <a:gd name="connsiteY24" fmla="*/ 102839 h 638175"/>
                <a:gd name="connsiteX25" fmla="*/ 254347 w 685800"/>
                <a:gd name="connsiteY25" fmla="*/ 116609 h 638175"/>
                <a:gd name="connsiteX26" fmla="*/ 261469 w 685800"/>
                <a:gd name="connsiteY26" fmla="*/ 124443 h 638175"/>
                <a:gd name="connsiteX27" fmla="*/ 264476 w 685800"/>
                <a:gd name="connsiteY27" fmla="*/ 128479 h 638175"/>
                <a:gd name="connsiteX28" fmla="*/ 268592 w 685800"/>
                <a:gd name="connsiteY28" fmla="*/ 127371 h 638175"/>
                <a:gd name="connsiteX29" fmla="*/ 285527 w 685800"/>
                <a:gd name="connsiteY29" fmla="*/ 116055 h 638175"/>
                <a:gd name="connsiteX30" fmla="*/ 286160 w 685800"/>
                <a:gd name="connsiteY30" fmla="*/ 104738 h 638175"/>
                <a:gd name="connsiteX31" fmla="*/ 287743 w 685800"/>
                <a:gd name="connsiteY31" fmla="*/ 95321 h 638175"/>
                <a:gd name="connsiteX32" fmla="*/ 289009 w 685800"/>
                <a:gd name="connsiteY32" fmla="*/ 88554 h 638175"/>
                <a:gd name="connsiteX33" fmla="*/ 291541 w 685800"/>
                <a:gd name="connsiteY33" fmla="*/ 76644 h 638175"/>
                <a:gd name="connsiteX34" fmla="*/ 293599 w 685800"/>
                <a:gd name="connsiteY34" fmla="*/ 70195 h 638175"/>
                <a:gd name="connsiteX35" fmla="*/ 295023 w 685800"/>
                <a:gd name="connsiteY35" fmla="*/ 68572 h 638175"/>
                <a:gd name="connsiteX36" fmla="*/ 304362 w 685800"/>
                <a:gd name="connsiteY36" fmla="*/ 55594 h 638175"/>
                <a:gd name="connsiteX37" fmla="*/ 308318 w 685800"/>
                <a:gd name="connsiteY37" fmla="*/ 40202 h 638175"/>
                <a:gd name="connsiteX38" fmla="*/ 314016 w 685800"/>
                <a:gd name="connsiteY38" fmla="*/ 27540 h 638175"/>
                <a:gd name="connsiteX39" fmla="*/ 329369 w 685800"/>
                <a:gd name="connsiteY39" fmla="*/ 18914 h 638175"/>
                <a:gd name="connsiteX40" fmla="*/ 336175 w 685800"/>
                <a:gd name="connsiteY40" fmla="*/ 10802 h 638175"/>
                <a:gd name="connsiteX41" fmla="*/ 343930 w 685800"/>
                <a:gd name="connsiteY41" fmla="*/ 0 h 638175"/>
                <a:gd name="connsiteX42" fmla="*/ 355642 w 685800"/>
                <a:gd name="connsiteY42" fmla="*/ 3245 h 638175"/>
                <a:gd name="connsiteX43" fmla="*/ 356117 w 685800"/>
                <a:gd name="connsiteY43" fmla="*/ 35651 h 638175"/>
                <a:gd name="connsiteX44" fmla="*/ 378276 w 685800"/>
                <a:gd name="connsiteY44" fmla="*/ 34029 h 638175"/>
                <a:gd name="connsiteX45" fmla="*/ 423542 w 685800"/>
                <a:gd name="connsiteY45" fmla="*/ 31615 h 638175"/>
                <a:gd name="connsiteX46" fmla="*/ 452823 w 685800"/>
                <a:gd name="connsiteY46" fmla="*/ 32961 h 638175"/>
                <a:gd name="connsiteX47" fmla="*/ 489226 w 685800"/>
                <a:gd name="connsiteY47" fmla="*/ 37828 h 638175"/>
                <a:gd name="connsiteX48" fmla="*/ 490176 w 685800"/>
                <a:gd name="connsiteY48" fmla="*/ 26234 h 638175"/>
                <a:gd name="connsiteX49" fmla="*/ 531802 w 685800"/>
                <a:gd name="connsiteY49" fmla="*/ 25601 h 638175"/>
                <a:gd name="connsiteX50" fmla="*/ 537816 w 685800"/>
                <a:gd name="connsiteY50" fmla="*/ 33158 h 638175"/>
                <a:gd name="connsiteX51" fmla="*/ 581816 w 685800"/>
                <a:gd name="connsiteY51" fmla="*/ 35216 h 638175"/>
                <a:gd name="connsiteX52" fmla="*/ 609198 w 685800"/>
                <a:gd name="connsiteY52" fmla="*/ 40953 h 638175"/>
                <a:gd name="connsiteX53" fmla="*/ 620435 w 685800"/>
                <a:gd name="connsiteY53" fmla="*/ 54209 h 638175"/>
                <a:gd name="connsiteX54" fmla="*/ 630248 w 685800"/>
                <a:gd name="connsiteY54" fmla="*/ 49144 h 638175"/>
                <a:gd name="connsiteX55" fmla="*/ 631831 w 685800"/>
                <a:gd name="connsiteY55" fmla="*/ 39450 h 638175"/>
                <a:gd name="connsiteX56" fmla="*/ 658105 w 685800"/>
                <a:gd name="connsiteY56" fmla="*/ 48907 h 638175"/>
                <a:gd name="connsiteX57" fmla="*/ 664119 w 685800"/>
                <a:gd name="connsiteY57" fmla="*/ 79731 h 638175"/>
                <a:gd name="connsiteX58" fmla="*/ 673932 w 685800"/>
                <a:gd name="connsiteY58" fmla="*/ 112810 h 638175"/>
                <a:gd name="connsiteX59" fmla="*/ 692608 w 685800"/>
                <a:gd name="connsiteY59" fmla="*/ 128044 h 638175"/>
                <a:gd name="connsiteX60" fmla="*/ 691659 w 685800"/>
                <a:gd name="connsiteY60" fmla="*/ 151112 h 638175"/>
                <a:gd name="connsiteX61" fmla="*/ 666493 w 685800"/>
                <a:gd name="connsiteY61" fmla="*/ 171846 h 638175"/>
                <a:gd name="connsiteX62" fmla="*/ 644493 w 685800"/>
                <a:gd name="connsiteY62" fmla="*/ 217350 h 638175"/>
                <a:gd name="connsiteX63" fmla="*/ 624392 w 685800"/>
                <a:gd name="connsiteY63" fmla="*/ 264397 h 638175"/>
                <a:gd name="connsiteX64" fmla="*/ 621543 w 685800"/>
                <a:gd name="connsiteY64" fmla="*/ 289484 h 638175"/>
                <a:gd name="connsiteX65" fmla="*/ 615687 w 685800"/>
                <a:gd name="connsiteY65" fmla="*/ 294905 h 638175"/>
                <a:gd name="connsiteX66" fmla="*/ 620435 w 685800"/>
                <a:gd name="connsiteY66" fmla="*/ 323196 h 638175"/>
                <a:gd name="connsiteX67" fmla="*/ 642594 w 685800"/>
                <a:gd name="connsiteY67" fmla="*/ 345078 h 638175"/>
                <a:gd name="connsiteX68" fmla="*/ 592737 w 685800"/>
                <a:gd name="connsiteY68" fmla="*/ 359006 h 638175"/>
                <a:gd name="connsiteX69" fmla="*/ 593212 w 685800"/>
                <a:gd name="connsiteY69" fmla="*/ 376574 h 638175"/>
                <a:gd name="connsiteX70" fmla="*/ 587514 w 685800"/>
                <a:gd name="connsiteY70" fmla="*/ 381402 h 638175"/>
                <a:gd name="connsiteX71" fmla="*/ 587356 w 685800"/>
                <a:gd name="connsiteY71" fmla="*/ 398416 h 638175"/>
                <a:gd name="connsiteX72" fmla="*/ 592896 w 685800"/>
                <a:gd name="connsiteY72" fmla="*/ 399524 h 638175"/>
                <a:gd name="connsiteX73" fmla="*/ 592579 w 685800"/>
                <a:gd name="connsiteY73" fmla="*/ 408110 h 638175"/>
                <a:gd name="connsiteX74" fmla="*/ 597802 w 685800"/>
                <a:gd name="connsiteY74" fmla="*/ 412384 h 638175"/>
                <a:gd name="connsiteX75" fmla="*/ 598119 w 685800"/>
                <a:gd name="connsiteY75" fmla="*/ 419862 h 638175"/>
                <a:gd name="connsiteX76" fmla="*/ 582291 w 685800"/>
                <a:gd name="connsiteY76" fmla="*/ 437193 h 638175"/>
                <a:gd name="connsiteX77" fmla="*/ 573586 w 685800"/>
                <a:gd name="connsiteY77" fmla="*/ 441704 h 638175"/>
                <a:gd name="connsiteX78" fmla="*/ 568838 w 685800"/>
                <a:gd name="connsiteY78" fmla="*/ 447085 h 638175"/>
                <a:gd name="connsiteX79" fmla="*/ 568680 w 685800"/>
                <a:gd name="connsiteY79" fmla="*/ 470035 h 638175"/>
                <a:gd name="connsiteX80" fmla="*/ 572636 w 685800"/>
                <a:gd name="connsiteY80" fmla="*/ 477514 h 638175"/>
                <a:gd name="connsiteX81" fmla="*/ 544938 w 685800"/>
                <a:gd name="connsiteY81" fmla="*/ 487683 h 638175"/>
                <a:gd name="connsiteX82" fmla="*/ 544622 w 685800"/>
                <a:gd name="connsiteY82" fmla="*/ 496230 h 638175"/>
                <a:gd name="connsiteX83" fmla="*/ 531169 w 685800"/>
                <a:gd name="connsiteY83" fmla="*/ 501492 h 638175"/>
                <a:gd name="connsiteX84" fmla="*/ 546046 w 685800"/>
                <a:gd name="connsiteY84" fmla="*/ 563694 h 638175"/>
                <a:gd name="connsiteX85" fmla="*/ 550953 w 685800"/>
                <a:gd name="connsiteY85" fmla="*/ 570737 h 638175"/>
                <a:gd name="connsiteX86" fmla="*/ 551111 w 685800"/>
                <a:gd name="connsiteY86" fmla="*/ 588978 h 638175"/>
                <a:gd name="connsiteX87" fmla="*/ 554435 w 685800"/>
                <a:gd name="connsiteY87" fmla="*/ 593608 h 638175"/>
                <a:gd name="connsiteX88" fmla="*/ 554277 w 685800"/>
                <a:gd name="connsiteY88" fmla="*/ 645917 h 638175"/>
                <a:gd name="connsiteX89" fmla="*/ 534176 w 685800"/>
                <a:gd name="connsiteY89" fmla="*/ 643979 h 638175"/>
                <a:gd name="connsiteX90" fmla="*/ 484161 w 685800"/>
                <a:gd name="connsiteY90" fmla="*/ 631554 h 638175"/>
                <a:gd name="connsiteX91" fmla="*/ 444276 w 685800"/>
                <a:gd name="connsiteY91" fmla="*/ 624550 h 638175"/>
                <a:gd name="connsiteX92" fmla="*/ 403441 w 685800"/>
                <a:gd name="connsiteY92" fmla="*/ 619684 h 638175"/>
                <a:gd name="connsiteX93" fmla="*/ 368621 w 685800"/>
                <a:gd name="connsiteY93" fmla="*/ 617547 h 638175"/>
                <a:gd name="connsiteX94" fmla="*/ 365297 w 685800"/>
                <a:gd name="connsiteY94" fmla="*/ 587831 h 638175"/>
                <a:gd name="connsiteX95" fmla="*/ 364031 w 685800"/>
                <a:gd name="connsiteY95" fmla="*/ 583003 h 638175"/>
                <a:gd name="connsiteX96" fmla="*/ 360074 w 685800"/>
                <a:gd name="connsiteY96" fmla="*/ 567334 h 638175"/>
                <a:gd name="connsiteX97" fmla="*/ 358966 w 685800"/>
                <a:gd name="connsiteY97" fmla="*/ 553841 h 638175"/>
                <a:gd name="connsiteX98" fmla="*/ 355009 w 685800"/>
                <a:gd name="connsiteY98" fmla="*/ 540349 h 638175"/>
                <a:gd name="connsiteX99" fmla="*/ 350419 w 685800"/>
                <a:gd name="connsiteY99" fmla="*/ 527370 h 638175"/>
                <a:gd name="connsiteX100" fmla="*/ 344721 w 685800"/>
                <a:gd name="connsiteY100" fmla="*/ 513917 h 638175"/>
                <a:gd name="connsiteX101" fmla="*/ 336808 w 685800"/>
                <a:gd name="connsiteY101" fmla="*/ 500424 h 638175"/>
                <a:gd name="connsiteX102" fmla="*/ 330002 w 685800"/>
                <a:gd name="connsiteY102" fmla="*/ 492312 h 638175"/>
                <a:gd name="connsiteX103" fmla="*/ 323671 w 685800"/>
                <a:gd name="connsiteY103" fmla="*/ 477157 h 638175"/>
                <a:gd name="connsiteX104" fmla="*/ 323671 w 685800"/>
                <a:gd name="connsiteY104" fmla="*/ 456107 h 638175"/>
                <a:gd name="connsiteX105" fmla="*/ 298031 w 685800"/>
                <a:gd name="connsiteY105" fmla="*/ 448035 h 638175"/>
                <a:gd name="connsiteX106" fmla="*/ 275872 w 685800"/>
                <a:gd name="connsiteY106" fmla="*/ 447521 h 638175"/>
                <a:gd name="connsiteX107" fmla="*/ 263368 w 685800"/>
                <a:gd name="connsiteY107" fmla="*/ 450211 h 638175"/>
                <a:gd name="connsiteX108" fmla="*/ 256563 w 685800"/>
                <a:gd name="connsiteY108" fmla="*/ 454485 h 638175"/>
                <a:gd name="connsiteX109" fmla="*/ 250232 w 685800"/>
                <a:gd name="connsiteY109" fmla="*/ 469085 h 638175"/>
                <a:gd name="connsiteX110" fmla="*/ 241210 w 685800"/>
                <a:gd name="connsiteY110" fmla="*/ 485823 h 638175"/>
                <a:gd name="connsiteX111" fmla="*/ 237728 w 685800"/>
                <a:gd name="connsiteY111" fmla="*/ 500938 h 638175"/>
                <a:gd name="connsiteX112" fmla="*/ 236145 w 685800"/>
                <a:gd name="connsiteY112" fmla="*/ 504697 h 638175"/>
                <a:gd name="connsiteX113" fmla="*/ 224750 w 685800"/>
                <a:gd name="connsiteY113" fmla="*/ 504183 h 638175"/>
                <a:gd name="connsiteX114" fmla="*/ 238994 w 685800"/>
                <a:gd name="connsiteY114" fmla="*/ 527924 h 638175"/>
                <a:gd name="connsiteX115" fmla="*/ 237728 w 685800"/>
                <a:gd name="connsiteY115" fmla="*/ 534413 h 638175"/>
                <a:gd name="connsiteX116" fmla="*/ 233296 w 685800"/>
                <a:gd name="connsiteY116" fmla="*/ 539834 h 638175"/>
                <a:gd name="connsiteX117" fmla="*/ 226965 w 685800"/>
                <a:gd name="connsiteY117" fmla="*/ 542485 h 638175"/>
                <a:gd name="connsiteX118" fmla="*/ 212246 w 685800"/>
                <a:gd name="connsiteY118" fmla="*/ 537658 h 638175"/>
                <a:gd name="connsiteX119" fmla="*/ 203066 w 685800"/>
                <a:gd name="connsiteY119" fmla="*/ 537658 h 638175"/>
                <a:gd name="connsiteX120" fmla="*/ 204174 w 685800"/>
                <a:gd name="connsiteY120" fmla="*/ 544108 h 638175"/>
                <a:gd name="connsiteX121" fmla="*/ 218419 w 685800"/>
                <a:gd name="connsiteY121" fmla="*/ 545769 h 638175"/>
                <a:gd name="connsiteX122" fmla="*/ 229814 w 685800"/>
                <a:gd name="connsiteY122" fmla="*/ 550043 h 638175"/>
                <a:gd name="connsiteX123" fmla="*/ 243426 w 685800"/>
                <a:gd name="connsiteY123" fmla="*/ 552773 h 638175"/>
                <a:gd name="connsiteX124" fmla="*/ 244059 w 685800"/>
                <a:gd name="connsiteY124" fmla="*/ 566780 h 638175"/>
                <a:gd name="connsiteX125" fmla="*/ 230922 w 685800"/>
                <a:gd name="connsiteY125" fmla="*/ 566780 h 638175"/>
                <a:gd name="connsiteX126" fmla="*/ 222375 w 685800"/>
                <a:gd name="connsiteY126" fmla="*/ 560331 h 638175"/>
                <a:gd name="connsiteX127" fmla="*/ 221267 w 685800"/>
                <a:gd name="connsiteY127" fmla="*/ 553287 h 638175"/>
                <a:gd name="connsiteX128" fmla="*/ 207023 w 685800"/>
                <a:gd name="connsiteY128" fmla="*/ 554356 h 638175"/>
                <a:gd name="connsiteX129" fmla="*/ 200850 w 685800"/>
                <a:gd name="connsiteY129" fmla="*/ 560845 h 638175"/>
                <a:gd name="connsiteX130" fmla="*/ 198001 w 685800"/>
                <a:gd name="connsiteY130" fmla="*/ 561913 h 638175"/>
                <a:gd name="connsiteX131" fmla="*/ 187080 w 685800"/>
                <a:gd name="connsiteY131" fmla="*/ 561399 h 638175"/>
                <a:gd name="connsiteX132" fmla="*/ 195627 w 685800"/>
                <a:gd name="connsiteY132" fmla="*/ 551151 h 638175"/>
                <a:gd name="connsiteX133" fmla="*/ 175210 w 685800"/>
                <a:gd name="connsiteY133" fmla="*/ 545769 h 638175"/>
                <a:gd name="connsiteX134" fmla="*/ 161598 w 685800"/>
                <a:gd name="connsiteY134" fmla="*/ 537658 h 638175"/>
                <a:gd name="connsiteX135" fmla="*/ 147828 w 685800"/>
                <a:gd name="connsiteY135" fmla="*/ 525233 h 638175"/>
                <a:gd name="connsiteX136" fmla="*/ 138807 w 685800"/>
                <a:gd name="connsiteY136" fmla="*/ 517122 h 638175"/>
                <a:gd name="connsiteX137" fmla="*/ 137699 w 685800"/>
                <a:gd name="connsiteY137" fmla="*/ 503075 h 638175"/>
                <a:gd name="connsiteX138" fmla="*/ 133584 w 685800"/>
                <a:gd name="connsiteY138" fmla="*/ 497694 h 638175"/>
                <a:gd name="connsiteX139" fmla="*/ 133584 w 685800"/>
                <a:gd name="connsiteY139" fmla="*/ 485823 h 638175"/>
                <a:gd name="connsiteX140" fmla="*/ 105252 w 685800"/>
                <a:gd name="connsiteY140" fmla="*/ 477751 h 638175"/>
                <a:gd name="connsiteX141" fmla="*/ 106360 w 685800"/>
                <a:gd name="connsiteY141" fmla="*/ 462636 h 638175"/>
                <a:gd name="connsiteX142" fmla="*/ 101296 w 685800"/>
                <a:gd name="connsiteY142" fmla="*/ 456661 h 638175"/>
                <a:gd name="connsiteX143" fmla="*/ 94331 w 685800"/>
                <a:gd name="connsiteY143" fmla="*/ 443722 h 638175"/>
                <a:gd name="connsiteX144" fmla="*/ 81828 w 685800"/>
                <a:gd name="connsiteY144" fmla="*/ 435096 h 638175"/>
                <a:gd name="connsiteX145" fmla="*/ 75022 w 685800"/>
                <a:gd name="connsiteY145" fmla="*/ 429675 h 638175"/>
                <a:gd name="connsiteX146" fmla="*/ 64734 w 685800"/>
                <a:gd name="connsiteY146" fmla="*/ 412423 h 638175"/>
                <a:gd name="connsiteX147" fmla="*/ 57928 w 685800"/>
                <a:gd name="connsiteY147" fmla="*/ 400553 h 638175"/>
                <a:gd name="connsiteX148" fmla="*/ 44950 w 685800"/>
                <a:gd name="connsiteY148" fmla="*/ 387574 h 638175"/>
                <a:gd name="connsiteX149" fmla="*/ 39727 w 685800"/>
                <a:gd name="connsiteY149" fmla="*/ 378948 h 638175"/>
                <a:gd name="connsiteX150" fmla="*/ 37511 w 685800"/>
                <a:gd name="connsiteY150" fmla="*/ 364901 h 638175"/>
                <a:gd name="connsiteX151" fmla="*/ 31180 w 685800"/>
                <a:gd name="connsiteY151" fmla="*/ 352477 h 638175"/>
                <a:gd name="connsiteX152" fmla="*/ 31180 w 685800"/>
                <a:gd name="connsiteY152" fmla="*/ 337362 h 638175"/>
                <a:gd name="connsiteX153" fmla="*/ 27856 w 685800"/>
                <a:gd name="connsiteY153" fmla="*/ 325531 h 638175"/>
                <a:gd name="connsiteX154" fmla="*/ 16461 w 685800"/>
                <a:gd name="connsiteY154" fmla="*/ 321178 h 638175"/>
                <a:gd name="connsiteX155" fmla="*/ 16935 w 685800"/>
                <a:gd name="connsiteY155" fmla="*/ 316865 h 638175"/>
                <a:gd name="connsiteX156" fmla="*/ 27856 w 685800"/>
                <a:gd name="connsiteY156" fmla="*/ 318487 h 638175"/>
                <a:gd name="connsiteX157" fmla="*/ 43209 w 685800"/>
                <a:gd name="connsiteY157" fmla="*/ 322800 h 638175"/>
                <a:gd name="connsiteX158" fmla="*/ 48590 w 685800"/>
                <a:gd name="connsiteY158" fmla="*/ 321732 h 638175"/>
                <a:gd name="connsiteX159" fmla="*/ 47799 w 685800"/>
                <a:gd name="connsiteY159" fmla="*/ 307685 h 638175"/>
                <a:gd name="connsiteX160" fmla="*/ 55079 w 685800"/>
                <a:gd name="connsiteY160" fmla="*/ 307685 h 638175"/>
                <a:gd name="connsiteX161" fmla="*/ 54763 w 685800"/>
                <a:gd name="connsiteY161" fmla="*/ 293124 h 638175"/>
                <a:gd name="connsiteX162" fmla="*/ 92116 w 685800"/>
                <a:gd name="connsiteY162" fmla="*/ 257235 h 638175"/>
                <a:gd name="connsiteX163" fmla="*/ 97180 w 685800"/>
                <a:gd name="connsiteY163" fmla="*/ 251537 h 638175"/>
                <a:gd name="connsiteX164" fmla="*/ 100979 w 685800"/>
                <a:gd name="connsiteY164" fmla="*/ 229419 h 638175"/>
                <a:gd name="connsiteX165" fmla="*/ 0 w 685800"/>
                <a:gd name="connsiteY165" fmla="*/ 200257 h 638175"/>
                <a:gd name="connsiteX166" fmla="*/ 5381 w 685800"/>
                <a:gd name="connsiteY166" fmla="*/ 172756 h 638175"/>
                <a:gd name="connsiteX167" fmla="*/ 16935 w 685800"/>
                <a:gd name="connsiteY167" fmla="*/ 139004 h 638175"/>
                <a:gd name="connsiteX168" fmla="*/ 43525 w 685800"/>
                <a:gd name="connsiteY168" fmla="*/ 77198 h 6381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Lst>
              <a:rect l="l" t="t" r="r" b="b"/>
              <a:pathLst>
                <a:path w="685800" h="638175">
                  <a:moveTo>
                    <a:pt x="43525" y="77198"/>
                  </a:moveTo>
                  <a:lnTo>
                    <a:pt x="43525" y="77198"/>
                  </a:lnTo>
                  <a:lnTo>
                    <a:pt x="49382" y="78267"/>
                  </a:lnTo>
                  <a:lnTo>
                    <a:pt x="57928" y="77752"/>
                  </a:lnTo>
                  <a:lnTo>
                    <a:pt x="72173" y="76644"/>
                  </a:lnTo>
                  <a:lnTo>
                    <a:pt x="75972" y="73439"/>
                  </a:lnTo>
                  <a:lnTo>
                    <a:pt x="89900" y="72608"/>
                  </a:lnTo>
                  <a:lnTo>
                    <a:pt x="108734" y="71817"/>
                  </a:lnTo>
                  <a:lnTo>
                    <a:pt x="108734" y="69799"/>
                  </a:lnTo>
                  <a:lnTo>
                    <a:pt x="112533" y="68572"/>
                  </a:lnTo>
                  <a:lnTo>
                    <a:pt x="113166" y="65328"/>
                  </a:lnTo>
                  <a:lnTo>
                    <a:pt x="135958" y="63705"/>
                  </a:lnTo>
                  <a:lnTo>
                    <a:pt x="147828" y="62360"/>
                  </a:lnTo>
                  <a:lnTo>
                    <a:pt x="172994" y="59392"/>
                  </a:lnTo>
                  <a:lnTo>
                    <a:pt x="173152" y="68572"/>
                  </a:lnTo>
                  <a:lnTo>
                    <a:pt x="174893" y="77752"/>
                  </a:lnTo>
                  <a:lnTo>
                    <a:pt x="180908" y="97734"/>
                  </a:lnTo>
                  <a:lnTo>
                    <a:pt x="184864" y="100939"/>
                  </a:lnTo>
                  <a:lnTo>
                    <a:pt x="194519" y="97734"/>
                  </a:lnTo>
                  <a:lnTo>
                    <a:pt x="198634" y="97260"/>
                  </a:lnTo>
                  <a:lnTo>
                    <a:pt x="208764" y="96112"/>
                  </a:lnTo>
                  <a:lnTo>
                    <a:pt x="216203" y="95558"/>
                  </a:lnTo>
                  <a:lnTo>
                    <a:pt x="223009" y="94490"/>
                  </a:lnTo>
                  <a:lnTo>
                    <a:pt x="237728" y="93382"/>
                  </a:lnTo>
                  <a:lnTo>
                    <a:pt x="245800" y="102839"/>
                  </a:lnTo>
                  <a:lnTo>
                    <a:pt x="254347" y="116609"/>
                  </a:lnTo>
                  <a:lnTo>
                    <a:pt x="261469" y="124443"/>
                  </a:lnTo>
                  <a:lnTo>
                    <a:pt x="264476" y="128479"/>
                  </a:lnTo>
                  <a:lnTo>
                    <a:pt x="268592" y="127371"/>
                  </a:lnTo>
                  <a:lnTo>
                    <a:pt x="285527" y="116055"/>
                  </a:lnTo>
                  <a:lnTo>
                    <a:pt x="286160" y="104738"/>
                  </a:lnTo>
                  <a:lnTo>
                    <a:pt x="287743" y="95321"/>
                  </a:lnTo>
                  <a:lnTo>
                    <a:pt x="289009" y="88554"/>
                  </a:lnTo>
                  <a:lnTo>
                    <a:pt x="291541" y="76644"/>
                  </a:lnTo>
                  <a:lnTo>
                    <a:pt x="293599" y="70195"/>
                  </a:lnTo>
                  <a:lnTo>
                    <a:pt x="295023" y="68572"/>
                  </a:lnTo>
                  <a:lnTo>
                    <a:pt x="304362" y="55594"/>
                  </a:lnTo>
                  <a:lnTo>
                    <a:pt x="308318" y="40202"/>
                  </a:lnTo>
                  <a:lnTo>
                    <a:pt x="314016" y="27540"/>
                  </a:lnTo>
                  <a:lnTo>
                    <a:pt x="329369" y="18914"/>
                  </a:lnTo>
                  <a:lnTo>
                    <a:pt x="336175" y="10802"/>
                  </a:lnTo>
                  <a:lnTo>
                    <a:pt x="343930" y="0"/>
                  </a:lnTo>
                  <a:lnTo>
                    <a:pt x="355642" y="3245"/>
                  </a:lnTo>
                  <a:lnTo>
                    <a:pt x="356117" y="35651"/>
                  </a:lnTo>
                  <a:lnTo>
                    <a:pt x="378276" y="34029"/>
                  </a:lnTo>
                  <a:lnTo>
                    <a:pt x="423542" y="31615"/>
                  </a:lnTo>
                  <a:lnTo>
                    <a:pt x="452823" y="32961"/>
                  </a:lnTo>
                  <a:lnTo>
                    <a:pt x="489226" y="37828"/>
                  </a:lnTo>
                  <a:lnTo>
                    <a:pt x="490176" y="26234"/>
                  </a:lnTo>
                  <a:lnTo>
                    <a:pt x="531802" y="25601"/>
                  </a:lnTo>
                  <a:lnTo>
                    <a:pt x="537816" y="33158"/>
                  </a:lnTo>
                  <a:lnTo>
                    <a:pt x="581816" y="35216"/>
                  </a:lnTo>
                  <a:lnTo>
                    <a:pt x="609198" y="40953"/>
                  </a:lnTo>
                  <a:lnTo>
                    <a:pt x="620435" y="54209"/>
                  </a:lnTo>
                  <a:lnTo>
                    <a:pt x="630248" y="49144"/>
                  </a:lnTo>
                  <a:lnTo>
                    <a:pt x="631831" y="39450"/>
                  </a:lnTo>
                  <a:lnTo>
                    <a:pt x="658105" y="48907"/>
                  </a:lnTo>
                  <a:lnTo>
                    <a:pt x="664119" y="79731"/>
                  </a:lnTo>
                  <a:lnTo>
                    <a:pt x="673932" y="112810"/>
                  </a:lnTo>
                  <a:lnTo>
                    <a:pt x="692608" y="128044"/>
                  </a:lnTo>
                  <a:lnTo>
                    <a:pt x="691659" y="151112"/>
                  </a:lnTo>
                  <a:lnTo>
                    <a:pt x="666493" y="171846"/>
                  </a:lnTo>
                  <a:lnTo>
                    <a:pt x="644493" y="217350"/>
                  </a:lnTo>
                  <a:lnTo>
                    <a:pt x="624392" y="264397"/>
                  </a:lnTo>
                  <a:lnTo>
                    <a:pt x="621543" y="289484"/>
                  </a:lnTo>
                  <a:lnTo>
                    <a:pt x="615687" y="294905"/>
                  </a:lnTo>
                  <a:lnTo>
                    <a:pt x="620435" y="323196"/>
                  </a:lnTo>
                  <a:lnTo>
                    <a:pt x="642594" y="345078"/>
                  </a:lnTo>
                  <a:lnTo>
                    <a:pt x="592737" y="359006"/>
                  </a:lnTo>
                  <a:lnTo>
                    <a:pt x="593212" y="376574"/>
                  </a:lnTo>
                  <a:lnTo>
                    <a:pt x="587514" y="381402"/>
                  </a:lnTo>
                  <a:lnTo>
                    <a:pt x="587356" y="398416"/>
                  </a:lnTo>
                  <a:lnTo>
                    <a:pt x="592896" y="399524"/>
                  </a:lnTo>
                  <a:lnTo>
                    <a:pt x="592579" y="408110"/>
                  </a:lnTo>
                  <a:lnTo>
                    <a:pt x="597802" y="412384"/>
                  </a:lnTo>
                  <a:lnTo>
                    <a:pt x="598119" y="419862"/>
                  </a:lnTo>
                  <a:lnTo>
                    <a:pt x="582291" y="437193"/>
                  </a:lnTo>
                  <a:lnTo>
                    <a:pt x="573586" y="441704"/>
                  </a:lnTo>
                  <a:lnTo>
                    <a:pt x="568838" y="447085"/>
                  </a:lnTo>
                  <a:lnTo>
                    <a:pt x="568680" y="470035"/>
                  </a:lnTo>
                  <a:lnTo>
                    <a:pt x="572636" y="477514"/>
                  </a:lnTo>
                  <a:lnTo>
                    <a:pt x="544938" y="487683"/>
                  </a:lnTo>
                  <a:lnTo>
                    <a:pt x="544622" y="496230"/>
                  </a:lnTo>
                  <a:lnTo>
                    <a:pt x="531169" y="501492"/>
                  </a:lnTo>
                  <a:lnTo>
                    <a:pt x="546046" y="563694"/>
                  </a:lnTo>
                  <a:lnTo>
                    <a:pt x="550953" y="570737"/>
                  </a:lnTo>
                  <a:lnTo>
                    <a:pt x="551111" y="588978"/>
                  </a:lnTo>
                  <a:lnTo>
                    <a:pt x="554435" y="593608"/>
                  </a:lnTo>
                  <a:lnTo>
                    <a:pt x="554277" y="645917"/>
                  </a:lnTo>
                  <a:lnTo>
                    <a:pt x="534176" y="643979"/>
                  </a:lnTo>
                  <a:lnTo>
                    <a:pt x="484161" y="631554"/>
                  </a:lnTo>
                  <a:lnTo>
                    <a:pt x="444276" y="624550"/>
                  </a:lnTo>
                  <a:lnTo>
                    <a:pt x="403441" y="619684"/>
                  </a:lnTo>
                  <a:lnTo>
                    <a:pt x="368621" y="617547"/>
                  </a:lnTo>
                  <a:lnTo>
                    <a:pt x="365297" y="587831"/>
                  </a:lnTo>
                  <a:lnTo>
                    <a:pt x="364031" y="583003"/>
                  </a:lnTo>
                  <a:lnTo>
                    <a:pt x="360074" y="567334"/>
                  </a:lnTo>
                  <a:lnTo>
                    <a:pt x="358966" y="553841"/>
                  </a:lnTo>
                  <a:lnTo>
                    <a:pt x="355009" y="540349"/>
                  </a:lnTo>
                  <a:lnTo>
                    <a:pt x="350419" y="527370"/>
                  </a:lnTo>
                  <a:lnTo>
                    <a:pt x="344721" y="513917"/>
                  </a:lnTo>
                  <a:lnTo>
                    <a:pt x="336808" y="500424"/>
                  </a:lnTo>
                  <a:lnTo>
                    <a:pt x="330002" y="492312"/>
                  </a:lnTo>
                  <a:lnTo>
                    <a:pt x="323671" y="477157"/>
                  </a:lnTo>
                  <a:lnTo>
                    <a:pt x="323671" y="456107"/>
                  </a:lnTo>
                  <a:lnTo>
                    <a:pt x="298031" y="448035"/>
                  </a:lnTo>
                  <a:lnTo>
                    <a:pt x="275872" y="447521"/>
                  </a:lnTo>
                  <a:lnTo>
                    <a:pt x="263368" y="450211"/>
                  </a:lnTo>
                  <a:lnTo>
                    <a:pt x="256563" y="454485"/>
                  </a:lnTo>
                  <a:lnTo>
                    <a:pt x="250232" y="469085"/>
                  </a:lnTo>
                  <a:lnTo>
                    <a:pt x="241210" y="485823"/>
                  </a:lnTo>
                  <a:lnTo>
                    <a:pt x="237728" y="500938"/>
                  </a:lnTo>
                  <a:lnTo>
                    <a:pt x="236145" y="504697"/>
                  </a:lnTo>
                  <a:lnTo>
                    <a:pt x="224750" y="504183"/>
                  </a:lnTo>
                  <a:lnTo>
                    <a:pt x="238994" y="527924"/>
                  </a:lnTo>
                  <a:lnTo>
                    <a:pt x="237728" y="534413"/>
                  </a:lnTo>
                  <a:lnTo>
                    <a:pt x="233296" y="539834"/>
                  </a:lnTo>
                  <a:lnTo>
                    <a:pt x="226965" y="542485"/>
                  </a:lnTo>
                  <a:lnTo>
                    <a:pt x="212246" y="537658"/>
                  </a:lnTo>
                  <a:lnTo>
                    <a:pt x="203066" y="537658"/>
                  </a:lnTo>
                  <a:lnTo>
                    <a:pt x="204174" y="544108"/>
                  </a:lnTo>
                  <a:lnTo>
                    <a:pt x="218419" y="545769"/>
                  </a:lnTo>
                  <a:lnTo>
                    <a:pt x="229814" y="550043"/>
                  </a:lnTo>
                  <a:lnTo>
                    <a:pt x="243426" y="552773"/>
                  </a:lnTo>
                  <a:lnTo>
                    <a:pt x="244059" y="566780"/>
                  </a:lnTo>
                  <a:lnTo>
                    <a:pt x="230922" y="566780"/>
                  </a:lnTo>
                  <a:lnTo>
                    <a:pt x="222375" y="560331"/>
                  </a:lnTo>
                  <a:lnTo>
                    <a:pt x="221267" y="553287"/>
                  </a:lnTo>
                  <a:lnTo>
                    <a:pt x="207023" y="554356"/>
                  </a:lnTo>
                  <a:lnTo>
                    <a:pt x="200850" y="560845"/>
                  </a:lnTo>
                  <a:lnTo>
                    <a:pt x="198001" y="561913"/>
                  </a:lnTo>
                  <a:lnTo>
                    <a:pt x="187080" y="561399"/>
                  </a:lnTo>
                  <a:lnTo>
                    <a:pt x="195627" y="551151"/>
                  </a:lnTo>
                  <a:lnTo>
                    <a:pt x="175210" y="545769"/>
                  </a:lnTo>
                  <a:lnTo>
                    <a:pt x="161598" y="537658"/>
                  </a:lnTo>
                  <a:lnTo>
                    <a:pt x="147828" y="525233"/>
                  </a:lnTo>
                  <a:lnTo>
                    <a:pt x="138807" y="517122"/>
                  </a:lnTo>
                  <a:lnTo>
                    <a:pt x="137699" y="503075"/>
                  </a:lnTo>
                  <a:lnTo>
                    <a:pt x="133584" y="497694"/>
                  </a:lnTo>
                  <a:lnTo>
                    <a:pt x="133584" y="485823"/>
                  </a:lnTo>
                  <a:lnTo>
                    <a:pt x="105252" y="477751"/>
                  </a:lnTo>
                  <a:lnTo>
                    <a:pt x="106360" y="462636"/>
                  </a:lnTo>
                  <a:lnTo>
                    <a:pt x="101296" y="456661"/>
                  </a:lnTo>
                  <a:lnTo>
                    <a:pt x="94331" y="443722"/>
                  </a:lnTo>
                  <a:lnTo>
                    <a:pt x="81828" y="435096"/>
                  </a:lnTo>
                  <a:lnTo>
                    <a:pt x="75022" y="429675"/>
                  </a:lnTo>
                  <a:lnTo>
                    <a:pt x="64734" y="412423"/>
                  </a:lnTo>
                  <a:lnTo>
                    <a:pt x="57928" y="400553"/>
                  </a:lnTo>
                  <a:lnTo>
                    <a:pt x="44950" y="387574"/>
                  </a:lnTo>
                  <a:lnTo>
                    <a:pt x="39727" y="378948"/>
                  </a:lnTo>
                  <a:lnTo>
                    <a:pt x="37511" y="364901"/>
                  </a:lnTo>
                  <a:lnTo>
                    <a:pt x="31180" y="352477"/>
                  </a:lnTo>
                  <a:lnTo>
                    <a:pt x="31180" y="337362"/>
                  </a:lnTo>
                  <a:lnTo>
                    <a:pt x="27856" y="325531"/>
                  </a:lnTo>
                  <a:lnTo>
                    <a:pt x="16461" y="321178"/>
                  </a:lnTo>
                  <a:lnTo>
                    <a:pt x="16935" y="316865"/>
                  </a:lnTo>
                  <a:lnTo>
                    <a:pt x="27856" y="318487"/>
                  </a:lnTo>
                  <a:lnTo>
                    <a:pt x="43209" y="322800"/>
                  </a:lnTo>
                  <a:lnTo>
                    <a:pt x="48590" y="321732"/>
                  </a:lnTo>
                  <a:lnTo>
                    <a:pt x="47799" y="307685"/>
                  </a:lnTo>
                  <a:lnTo>
                    <a:pt x="55079" y="307685"/>
                  </a:lnTo>
                  <a:lnTo>
                    <a:pt x="54763" y="293124"/>
                  </a:lnTo>
                  <a:lnTo>
                    <a:pt x="92116" y="257235"/>
                  </a:lnTo>
                  <a:lnTo>
                    <a:pt x="97180" y="251537"/>
                  </a:lnTo>
                  <a:lnTo>
                    <a:pt x="100979" y="229419"/>
                  </a:lnTo>
                  <a:lnTo>
                    <a:pt x="0" y="200257"/>
                  </a:lnTo>
                  <a:lnTo>
                    <a:pt x="5381" y="172756"/>
                  </a:lnTo>
                  <a:lnTo>
                    <a:pt x="16935" y="139004"/>
                  </a:lnTo>
                  <a:lnTo>
                    <a:pt x="43525" y="77198"/>
                  </a:lnTo>
                </a:path>
              </a:pathLst>
            </a:custGeom>
            <a:solidFill>
              <a:srgbClr val="FFFFFF"/>
            </a:solidFill>
            <a:ln w="5132" cap="flat">
              <a:solidFill>
                <a:srgbClr val="030000"/>
              </a:solidFill>
              <a:prstDash val="solid"/>
              <a:miter/>
            </a:ln>
          </xdr:spPr>
          <xdr:txBody>
            <a:bodyPr rtlCol="0" anchor="ctr"/>
            <a:lstStyle/>
            <a:p>
              <a:endParaRPr lang="en-US"/>
            </a:p>
          </xdr:txBody>
        </xdr:sp>
        <xdr:sp macro="" textlink="">
          <xdr:nvSpPr>
            <xdr:cNvPr id="96" name="39_1">
              <a:extLst>
                <a:ext uri="{FF2B5EF4-FFF2-40B4-BE49-F238E27FC236}">
                  <a16:creationId xmlns:a16="http://schemas.microsoft.com/office/drawing/2014/main" id="{C6F9E22A-8CFC-DC41-A151-B6B36822C24E}"/>
                </a:ext>
              </a:extLst>
            </xdr:cNvPr>
            <xdr:cNvSpPr/>
          </xdr:nvSpPr>
          <xdr:spPr>
            <a:xfrm>
              <a:off x="5115343" y="5829521"/>
              <a:ext cx="447675" cy="331258"/>
            </a:xfrm>
            <a:custGeom>
              <a:avLst/>
              <a:gdLst>
                <a:gd name="connsiteX0" fmla="*/ 30389 w 447675"/>
                <a:gd name="connsiteY0" fmla="*/ 148422 h 314325"/>
                <a:gd name="connsiteX1" fmla="*/ 30389 w 447675"/>
                <a:gd name="connsiteY1" fmla="*/ 148422 h 314325"/>
                <a:gd name="connsiteX2" fmla="*/ 25799 w 447675"/>
                <a:gd name="connsiteY2" fmla="*/ 121990 h 314325"/>
                <a:gd name="connsiteX3" fmla="*/ 23583 w 447675"/>
                <a:gd name="connsiteY3" fmla="*/ 103076 h 314325"/>
                <a:gd name="connsiteX4" fmla="*/ 104936 w 447675"/>
                <a:gd name="connsiteY4" fmla="*/ 94450 h 314325"/>
                <a:gd name="connsiteX5" fmla="*/ 117440 w 447675"/>
                <a:gd name="connsiteY5" fmla="*/ 91206 h 314325"/>
                <a:gd name="connsiteX6" fmla="*/ 103828 w 447675"/>
                <a:gd name="connsiteY6" fmla="*/ 35612 h 314325"/>
                <a:gd name="connsiteX7" fmla="*/ 98605 w 447675"/>
                <a:gd name="connsiteY7" fmla="*/ 8112 h 314325"/>
                <a:gd name="connsiteX8" fmla="*/ 115699 w 447675"/>
                <a:gd name="connsiteY8" fmla="*/ 3799 h 314325"/>
                <a:gd name="connsiteX9" fmla="*/ 136749 w 447675"/>
                <a:gd name="connsiteY9" fmla="*/ 1622 h 314325"/>
                <a:gd name="connsiteX10" fmla="*/ 164605 w 447675"/>
                <a:gd name="connsiteY10" fmla="*/ 0 h 314325"/>
                <a:gd name="connsiteX11" fmla="*/ 181224 w 447675"/>
                <a:gd name="connsiteY11" fmla="*/ 2176 h 314325"/>
                <a:gd name="connsiteX12" fmla="*/ 216994 w 447675"/>
                <a:gd name="connsiteY12" fmla="*/ 10248 h 314325"/>
                <a:gd name="connsiteX13" fmla="*/ 226649 w 447675"/>
                <a:gd name="connsiteY13" fmla="*/ 7558 h 314325"/>
                <a:gd name="connsiteX14" fmla="*/ 235829 w 447675"/>
                <a:gd name="connsiteY14" fmla="*/ 7558 h 314325"/>
                <a:gd name="connsiteX15" fmla="*/ 244376 w 447675"/>
                <a:gd name="connsiteY15" fmla="*/ 21050 h 314325"/>
                <a:gd name="connsiteX16" fmla="*/ 277297 w 447675"/>
                <a:gd name="connsiteY16" fmla="*/ 23227 h 314325"/>
                <a:gd name="connsiteX17" fmla="*/ 288692 w 447675"/>
                <a:gd name="connsiteY17" fmla="*/ 9734 h 314325"/>
                <a:gd name="connsiteX18" fmla="*/ 308951 w 447675"/>
                <a:gd name="connsiteY18" fmla="*/ 7558 h 314325"/>
                <a:gd name="connsiteX19" fmla="*/ 324779 w 447675"/>
                <a:gd name="connsiteY19" fmla="*/ 19151 h 314325"/>
                <a:gd name="connsiteX20" fmla="*/ 438895 w 447675"/>
                <a:gd name="connsiteY20" fmla="*/ 8349 h 314325"/>
                <a:gd name="connsiteX21" fmla="*/ 448075 w 447675"/>
                <a:gd name="connsiteY21" fmla="*/ 99871 h 314325"/>
                <a:gd name="connsiteX22" fmla="*/ 450290 w 447675"/>
                <a:gd name="connsiteY22" fmla="*/ 166782 h 314325"/>
                <a:gd name="connsiteX23" fmla="*/ 445700 w 447675"/>
                <a:gd name="connsiteY23" fmla="*/ 231041 h 314325"/>
                <a:gd name="connsiteX24" fmla="*/ 409297 w 447675"/>
                <a:gd name="connsiteY24" fmla="*/ 226174 h 314325"/>
                <a:gd name="connsiteX25" fmla="*/ 380017 w 447675"/>
                <a:gd name="connsiteY25" fmla="*/ 224829 h 314325"/>
                <a:gd name="connsiteX26" fmla="*/ 334750 w 447675"/>
                <a:gd name="connsiteY26" fmla="*/ 227242 h 314325"/>
                <a:gd name="connsiteX27" fmla="*/ 312592 w 447675"/>
                <a:gd name="connsiteY27" fmla="*/ 228865 h 314325"/>
                <a:gd name="connsiteX28" fmla="*/ 312117 w 447675"/>
                <a:gd name="connsiteY28" fmla="*/ 196458 h 314325"/>
                <a:gd name="connsiteX29" fmla="*/ 300405 w 447675"/>
                <a:gd name="connsiteY29" fmla="*/ 193213 h 314325"/>
                <a:gd name="connsiteX30" fmla="*/ 292649 w 447675"/>
                <a:gd name="connsiteY30" fmla="*/ 204016 h 314325"/>
                <a:gd name="connsiteX31" fmla="*/ 285843 w 447675"/>
                <a:gd name="connsiteY31" fmla="*/ 212127 h 314325"/>
                <a:gd name="connsiteX32" fmla="*/ 270491 w 447675"/>
                <a:gd name="connsiteY32" fmla="*/ 220753 h 314325"/>
                <a:gd name="connsiteX33" fmla="*/ 264793 w 447675"/>
                <a:gd name="connsiteY33" fmla="*/ 233415 h 314325"/>
                <a:gd name="connsiteX34" fmla="*/ 260836 w 447675"/>
                <a:gd name="connsiteY34" fmla="*/ 248807 h 314325"/>
                <a:gd name="connsiteX35" fmla="*/ 251498 w 447675"/>
                <a:gd name="connsiteY35" fmla="*/ 261786 h 314325"/>
                <a:gd name="connsiteX36" fmla="*/ 250073 w 447675"/>
                <a:gd name="connsiteY36" fmla="*/ 263408 h 314325"/>
                <a:gd name="connsiteX37" fmla="*/ 248016 w 447675"/>
                <a:gd name="connsiteY37" fmla="*/ 269858 h 314325"/>
                <a:gd name="connsiteX38" fmla="*/ 245483 w 447675"/>
                <a:gd name="connsiteY38" fmla="*/ 281768 h 314325"/>
                <a:gd name="connsiteX39" fmla="*/ 244217 w 447675"/>
                <a:gd name="connsiteY39" fmla="*/ 288534 h 314325"/>
                <a:gd name="connsiteX40" fmla="*/ 242635 w 447675"/>
                <a:gd name="connsiteY40" fmla="*/ 297951 h 314325"/>
                <a:gd name="connsiteX41" fmla="*/ 242001 w 447675"/>
                <a:gd name="connsiteY41" fmla="*/ 309268 h 314325"/>
                <a:gd name="connsiteX42" fmla="*/ 225066 w 447675"/>
                <a:gd name="connsiteY42" fmla="*/ 320585 h 314325"/>
                <a:gd name="connsiteX43" fmla="*/ 220951 w 447675"/>
                <a:gd name="connsiteY43" fmla="*/ 321693 h 314325"/>
                <a:gd name="connsiteX44" fmla="*/ 217944 w 447675"/>
                <a:gd name="connsiteY44" fmla="*/ 317657 h 314325"/>
                <a:gd name="connsiteX45" fmla="*/ 210821 w 447675"/>
                <a:gd name="connsiteY45" fmla="*/ 309822 h 314325"/>
                <a:gd name="connsiteX46" fmla="*/ 202275 w 447675"/>
                <a:gd name="connsiteY46" fmla="*/ 296052 h 314325"/>
                <a:gd name="connsiteX47" fmla="*/ 194203 w 447675"/>
                <a:gd name="connsiteY47" fmla="*/ 286595 h 314325"/>
                <a:gd name="connsiteX48" fmla="*/ 179483 w 447675"/>
                <a:gd name="connsiteY48" fmla="*/ 287703 h 314325"/>
                <a:gd name="connsiteX49" fmla="*/ 172677 w 447675"/>
                <a:gd name="connsiteY49" fmla="*/ 288771 h 314325"/>
                <a:gd name="connsiteX50" fmla="*/ 165238 w 447675"/>
                <a:gd name="connsiteY50" fmla="*/ 289325 h 314325"/>
                <a:gd name="connsiteX51" fmla="*/ 155109 w 447675"/>
                <a:gd name="connsiteY51" fmla="*/ 290473 h 314325"/>
                <a:gd name="connsiteX52" fmla="*/ 150994 w 447675"/>
                <a:gd name="connsiteY52" fmla="*/ 290948 h 314325"/>
                <a:gd name="connsiteX53" fmla="*/ 141339 w 447675"/>
                <a:gd name="connsiteY53" fmla="*/ 294153 h 314325"/>
                <a:gd name="connsiteX54" fmla="*/ 137382 w 447675"/>
                <a:gd name="connsiteY54" fmla="*/ 290948 h 314325"/>
                <a:gd name="connsiteX55" fmla="*/ 131368 w 447675"/>
                <a:gd name="connsiteY55" fmla="*/ 270966 h 314325"/>
                <a:gd name="connsiteX56" fmla="*/ 129627 w 447675"/>
                <a:gd name="connsiteY56" fmla="*/ 261786 h 314325"/>
                <a:gd name="connsiteX57" fmla="*/ 129468 w 447675"/>
                <a:gd name="connsiteY57" fmla="*/ 252606 h 314325"/>
                <a:gd name="connsiteX58" fmla="*/ 104303 w 447675"/>
                <a:gd name="connsiteY58" fmla="*/ 255573 h 314325"/>
                <a:gd name="connsiteX59" fmla="*/ 92432 w 447675"/>
                <a:gd name="connsiteY59" fmla="*/ 256919 h 314325"/>
                <a:gd name="connsiteX60" fmla="*/ 69641 w 447675"/>
                <a:gd name="connsiteY60" fmla="*/ 258541 h 314325"/>
                <a:gd name="connsiteX61" fmla="*/ 69008 w 447675"/>
                <a:gd name="connsiteY61" fmla="*/ 261786 h 314325"/>
                <a:gd name="connsiteX62" fmla="*/ 65209 w 447675"/>
                <a:gd name="connsiteY62" fmla="*/ 263012 h 314325"/>
                <a:gd name="connsiteX63" fmla="*/ 65209 w 447675"/>
                <a:gd name="connsiteY63" fmla="*/ 265030 h 314325"/>
                <a:gd name="connsiteX64" fmla="*/ 46374 w 447675"/>
                <a:gd name="connsiteY64" fmla="*/ 265822 h 314325"/>
                <a:gd name="connsiteX65" fmla="*/ 32446 w 447675"/>
                <a:gd name="connsiteY65" fmla="*/ 266653 h 314325"/>
                <a:gd name="connsiteX66" fmla="*/ 28648 w 447675"/>
                <a:gd name="connsiteY66" fmla="*/ 269858 h 314325"/>
                <a:gd name="connsiteX67" fmla="*/ 14403 w 447675"/>
                <a:gd name="connsiteY67" fmla="*/ 270966 h 314325"/>
                <a:gd name="connsiteX68" fmla="*/ 5856 w 447675"/>
                <a:gd name="connsiteY68" fmla="*/ 271480 h 314325"/>
                <a:gd name="connsiteX69" fmla="*/ 0 w 447675"/>
                <a:gd name="connsiteY69" fmla="*/ 270412 h 314325"/>
                <a:gd name="connsiteX70" fmla="*/ 4432 w 447675"/>
                <a:gd name="connsiteY70" fmla="*/ 254743 h 314325"/>
                <a:gd name="connsiteX71" fmla="*/ 4748 w 447675"/>
                <a:gd name="connsiteY71" fmla="*/ 239113 h 314325"/>
                <a:gd name="connsiteX72" fmla="*/ 9655 w 447675"/>
                <a:gd name="connsiteY72" fmla="*/ 216163 h 314325"/>
                <a:gd name="connsiteX73" fmla="*/ 12187 w 447675"/>
                <a:gd name="connsiteY73" fmla="*/ 198634 h 314325"/>
                <a:gd name="connsiteX74" fmla="*/ 20101 w 447675"/>
                <a:gd name="connsiteY74" fmla="*/ 194321 h 314325"/>
                <a:gd name="connsiteX75" fmla="*/ 22158 w 447675"/>
                <a:gd name="connsiteY75" fmla="*/ 193767 h 314325"/>
                <a:gd name="connsiteX76" fmla="*/ 28964 w 447675"/>
                <a:gd name="connsiteY76" fmla="*/ 178929 h 314325"/>
                <a:gd name="connsiteX77" fmla="*/ 32130 w 447675"/>
                <a:gd name="connsiteY77" fmla="*/ 160846 h 314325"/>
                <a:gd name="connsiteX78" fmla="*/ 32921 w 447675"/>
                <a:gd name="connsiteY78" fmla="*/ 157048 h 314325"/>
                <a:gd name="connsiteX79" fmla="*/ 31180 w 447675"/>
                <a:gd name="connsiteY79" fmla="*/ 152735 h 314325"/>
                <a:gd name="connsiteX80" fmla="*/ 30389 w 447675"/>
                <a:gd name="connsiteY80" fmla="*/ 148422 h 3143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Lst>
              <a:rect l="l" t="t" r="r" b="b"/>
              <a:pathLst>
                <a:path w="447675" h="314325">
                  <a:moveTo>
                    <a:pt x="30389" y="148422"/>
                  </a:moveTo>
                  <a:lnTo>
                    <a:pt x="30389" y="148422"/>
                  </a:lnTo>
                  <a:lnTo>
                    <a:pt x="25799" y="121990"/>
                  </a:lnTo>
                  <a:lnTo>
                    <a:pt x="23583" y="103076"/>
                  </a:lnTo>
                  <a:lnTo>
                    <a:pt x="104936" y="94450"/>
                  </a:lnTo>
                  <a:lnTo>
                    <a:pt x="117440" y="91206"/>
                  </a:lnTo>
                  <a:lnTo>
                    <a:pt x="103828" y="35612"/>
                  </a:lnTo>
                  <a:lnTo>
                    <a:pt x="98605" y="8112"/>
                  </a:lnTo>
                  <a:lnTo>
                    <a:pt x="115699" y="3799"/>
                  </a:lnTo>
                  <a:lnTo>
                    <a:pt x="136749" y="1622"/>
                  </a:lnTo>
                  <a:lnTo>
                    <a:pt x="164605" y="0"/>
                  </a:lnTo>
                  <a:lnTo>
                    <a:pt x="181224" y="2176"/>
                  </a:lnTo>
                  <a:lnTo>
                    <a:pt x="216994" y="10248"/>
                  </a:lnTo>
                  <a:lnTo>
                    <a:pt x="226649" y="7558"/>
                  </a:lnTo>
                  <a:lnTo>
                    <a:pt x="235829" y="7558"/>
                  </a:lnTo>
                  <a:lnTo>
                    <a:pt x="244376" y="21050"/>
                  </a:lnTo>
                  <a:lnTo>
                    <a:pt x="277297" y="23227"/>
                  </a:lnTo>
                  <a:lnTo>
                    <a:pt x="288692" y="9734"/>
                  </a:lnTo>
                  <a:lnTo>
                    <a:pt x="308951" y="7558"/>
                  </a:lnTo>
                  <a:lnTo>
                    <a:pt x="324779" y="19151"/>
                  </a:lnTo>
                  <a:lnTo>
                    <a:pt x="438895" y="8349"/>
                  </a:lnTo>
                  <a:lnTo>
                    <a:pt x="448075" y="99871"/>
                  </a:lnTo>
                  <a:lnTo>
                    <a:pt x="450290" y="166782"/>
                  </a:lnTo>
                  <a:lnTo>
                    <a:pt x="445700" y="231041"/>
                  </a:lnTo>
                  <a:lnTo>
                    <a:pt x="409297" y="226174"/>
                  </a:lnTo>
                  <a:lnTo>
                    <a:pt x="380017" y="224829"/>
                  </a:lnTo>
                  <a:lnTo>
                    <a:pt x="334750" y="227242"/>
                  </a:lnTo>
                  <a:lnTo>
                    <a:pt x="312592" y="228865"/>
                  </a:lnTo>
                  <a:lnTo>
                    <a:pt x="312117" y="196458"/>
                  </a:lnTo>
                  <a:lnTo>
                    <a:pt x="300405" y="193213"/>
                  </a:lnTo>
                  <a:lnTo>
                    <a:pt x="292649" y="204016"/>
                  </a:lnTo>
                  <a:lnTo>
                    <a:pt x="285843" y="212127"/>
                  </a:lnTo>
                  <a:lnTo>
                    <a:pt x="270491" y="220753"/>
                  </a:lnTo>
                  <a:lnTo>
                    <a:pt x="264793" y="233415"/>
                  </a:lnTo>
                  <a:lnTo>
                    <a:pt x="260836" y="248807"/>
                  </a:lnTo>
                  <a:lnTo>
                    <a:pt x="251498" y="261786"/>
                  </a:lnTo>
                  <a:lnTo>
                    <a:pt x="250073" y="263408"/>
                  </a:lnTo>
                  <a:lnTo>
                    <a:pt x="248016" y="269858"/>
                  </a:lnTo>
                  <a:lnTo>
                    <a:pt x="245483" y="281768"/>
                  </a:lnTo>
                  <a:lnTo>
                    <a:pt x="244217" y="288534"/>
                  </a:lnTo>
                  <a:lnTo>
                    <a:pt x="242635" y="297951"/>
                  </a:lnTo>
                  <a:lnTo>
                    <a:pt x="242001" y="309268"/>
                  </a:lnTo>
                  <a:lnTo>
                    <a:pt x="225066" y="320585"/>
                  </a:lnTo>
                  <a:lnTo>
                    <a:pt x="220951" y="321693"/>
                  </a:lnTo>
                  <a:lnTo>
                    <a:pt x="217944" y="317657"/>
                  </a:lnTo>
                  <a:lnTo>
                    <a:pt x="210821" y="309822"/>
                  </a:lnTo>
                  <a:lnTo>
                    <a:pt x="202275" y="296052"/>
                  </a:lnTo>
                  <a:lnTo>
                    <a:pt x="194203" y="286595"/>
                  </a:lnTo>
                  <a:lnTo>
                    <a:pt x="179483" y="287703"/>
                  </a:lnTo>
                  <a:lnTo>
                    <a:pt x="172677" y="288771"/>
                  </a:lnTo>
                  <a:lnTo>
                    <a:pt x="165238" y="289325"/>
                  </a:lnTo>
                  <a:lnTo>
                    <a:pt x="155109" y="290473"/>
                  </a:lnTo>
                  <a:lnTo>
                    <a:pt x="150994" y="290948"/>
                  </a:lnTo>
                  <a:lnTo>
                    <a:pt x="141339" y="294153"/>
                  </a:lnTo>
                  <a:lnTo>
                    <a:pt x="137382" y="290948"/>
                  </a:lnTo>
                  <a:lnTo>
                    <a:pt x="131368" y="270966"/>
                  </a:lnTo>
                  <a:lnTo>
                    <a:pt x="129627" y="261786"/>
                  </a:lnTo>
                  <a:lnTo>
                    <a:pt x="129468" y="252606"/>
                  </a:lnTo>
                  <a:lnTo>
                    <a:pt x="104303" y="255573"/>
                  </a:lnTo>
                  <a:lnTo>
                    <a:pt x="92432" y="256919"/>
                  </a:lnTo>
                  <a:lnTo>
                    <a:pt x="69641" y="258541"/>
                  </a:lnTo>
                  <a:lnTo>
                    <a:pt x="69008" y="261786"/>
                  </a:lnTo>
                  <a:lnTo>
                    <a:pt x="65209" y="263012"/>
                  </a:lnTo>
                  <a:lnTo>
                    <a:pt x="65209" y="265030"/>
                  </a:lnTo>
                  <a:lnTo>
                    <a:pt x="46374" y="265822"/>
                  </a:lnTo>
                  <a:lnTo>
                    <a:pt x="32446" y="266653"/>
                  </a:lnTo>
                  <a:lnTo>
                    <a:pt x="28648" y="269858"/>
                  </a:lnTo>
                  <a:lnTo>
                    <a:pt x="14403" y="270966"/>
                  </a:lnTo>
                  <a:lnTo>
                    <a:pt x="5856" y="271480"/>
                  </a:lnTo>
                  <a:lnTo>
                    <a:pt x="0" y="270412"/>
                  </a:lnTo>
                  <a:lnTo>
                    <a:pt x="4432" y="254743"/>
                  </a:lnTo>
                  <a:lnTo>
                    <a:pt x="4748" y="239113"/>
                  </a:lnTo>
                  <a:lnTo>
                    <a:pt x="9655" y="216163"/>
                  </a:lnTo>
                  <a:lnTo>
                    <a:pt x="12187" y="198634"/>
                  </a:lnTo>
                  <a:lnTo>
                    <a:pt x="20101" y="194321"/>
                  </a:lnTo>
                  <a:lnTo>
                    <a:pt x="22158" y="193767"/>
                  </a:lnTo>
                  <a:lnTo>
                    <a:pt x="28964" y="178929"/>
                  </a:lnTo>
                  <a:lnTo>
                    <a:pt x="32130" y="160846"/>
                  </a:lnTo>
                  <a:lnTo>
                    <a:pt x="32921" y="157048"/>
                  </a:lnTo>
                  <a:lnTo>
                    <a:pt x="31180" y="152735"/>
                  </a:lnTo>
                  <a:lnTo>
                    <a:pt x="30389" y="148422"/>
                  </a:lnTo>
                </a:path>
              </a:pathLst>
            </a:custGeom>
            <a:solidFill>
              <a:srgbClr val="FFFFFF"/>
            </a:solidFill>
            <a:ln w="5132" cap="flat">
              <a:solidFill>
                <a:srgbClr val="030000"/>
              </a:solidFill>
              <a:prstDash val="solid"/>
              <a:miter/>
            </a:ln>
          </xdr:spPr>
          <xdr:txBody>
            <a:bodyPr rtlCol="0" anchor="ctr"/>
            <a:lstStyle/>
            <a:p>
              <a:endParaRPr lang="en-US"/>
            </a:p>
          </xdr:txBody>
        </xdr:sp>
        <xdr:sp macro="" textlink="">
          <xdr:nvSpPr>
            <xdr:cNvPr id="97" name="38_1">
              <a:extLst>
                <a:ext uri="{FF2B5EF4-FFF2-40B4-BE49-F238E27FC236}">
                  <a16:creationId xmlns:a16="http://schemas.microsoft.com/office/drawing/2014/main" id="{4580273D-0F2D-FD4B-A1BE-20A1FA69D317}"/>
                </a:ext>
              </a:extLst>
            </xdr:cNvPr>
            <xdr:cNvSpPr/>
          </xdr:nvSpPr>
          <xdr:spPr>
            <a:xfrm>
              <a:off x="5554238" y="5821963"/>
              <a:ext cx="519642" cy="1004358"/>
            </a:xfrm>
            <a:custGeom>
              <a:avLst/>
              <a:gdLst>
                <a:gd name="connsiteX0" fmla="*/ 0 w 523875"/>
                <a:gd name="connsiteY0" fmla="*/ 15907 h 962025"/>
                <a:gd name="connsiteX1" fmla="*/ 0 w 523875"/>
                <a:gd name="connsiteY1" fmla="*/ 15907 h 962025"/>
                <a:gd name="connsiteX2" fmla="*/ 15986 w 523875"/>
                <a:gd name="connsiteY2" fmla="*/ 12425 h 962025"/>
                <a:gd name="connsiteX3" fmla="*/ 85468 w 523875"/>
                <a:gd name="connsiteY3" fmla="*/ 0 h 962025"/>
                <a:gd name="connsiteX4" fmla="*/ 91166 w 523875"/>
                <a:gd name="connsiteY4" fmla="*/ 38342 h 962025"/>
                <a:gd name="connsiteX5" fmla="*/ 100821 w 523875"/>
                <a:gd name="connsiteY5" fmla="*/ 65288 h 962025"/>
                <a:gd name="connsiteX6" fmla="*/ 124245 w 523875"/>
                <a:gd name="connsiteY6" fmla="*/ 60975 h 962025"/>
                <a:gd name="connsiteX7" fmla="*/ 138965 w 523875"/>
                <a:gd name="connsiteY7" fmla="*/ 58285 h 962025"/>
                <a:gd name="connsiteX8" fmla="*/ 145138 w 523875"/>
                <a:gd name="connsiteY8" fmla="*/ 57968 h 962025"/>
                <a:gd name="connsiteX9" fmla="*/ 179325 w 523875"/>
                <a:gd name="connsiteY9" fmla="*/ 56108 h 962025"/>
                <a:gd name="connsiteX10" fmla="*/ 183282 w 523875"/>
                <a:gd name="connsiteY10" fmla="*/ 115501 h 962025"/>
                <a:gd name="connsiteX11" fmla="*/ 194044 w 523875"/>
                <a:gd name="connsiteY11" fmla="*/ 153843 h 962025"/>
                <a:gd name="connsiteX12" fmla="*/ 206073 w 523875"/>
                <a:gd name="connsiteY12" fmla="*/ 152220 h 962025"/>
                <a:gd name="connsiteX13" fmla="*/ 208289 w 523875"/>
                <a:gd name="connsiteY13" fmla="*/ 158156 h 962025"/>
                <a:gd name="connsiteX14" fmla="*/ 217944 w 523875"/>
                <a:gd name="connsiteY14" fmla="*/ 163577 h 962025"/>
                <a:gd name="connsiteX15" fmla="*/ 232188 w 523875"/>
                <a:gd name="connsiteY15" fmla="*/ 174339 h 962025"/>
                <a:gd name="connsiteX16" fmla="*/ 243584 w 523875"/>
                <a:gd name="connsiteY16" fmla="*/ 181897 h 962025"/>
                <a:gd name="connsiteX17" fmla="*/ 250390 w 523875"/>
                <a:gd name="connsiteY17" fmla="*/ 184073 h 962025"/>
                <a:gd name="connsiteX18" fmla="*/ 257829 w 523875"/>
                <a:gd name="connsiteY18" fmla="*/ 185656 h 962025"/>
                <a:gd name="connsiteX19" fmla="*/ 258937 w 523875"/>
                <a:gd name="connsiteY19" fmla="*/ 209951 h 962025"/>
                <a:gd name="connsiteX20" fmla="*/ 360865 w 523875"/>
                <a:gd name="connsiteY20" fmla="*/ 207814 h 962025"/>
                <a:gd name="connsiteX21" fmla="*/ 394894 w 523875"/>
                <a:gd name="connsiteY21" fmla="*/ 206746 h 962025"/>
                <a:gd name="connsiteX22" fmla="*/ 473557 w 523875"/>
                <a:gd name="connsiteY22" fmla="*/ 204570 h 962025"/>
                <a:gd name="connsiteX23" fmla="*/ 529902 w 523875"/>
                <a:gd name="connsiteY23" fmla="*/ 206192 h 962025"/>
                <a:gd name="connsiteX24" fmla="*/ 529269 w 523875"/>
                <a:gd name="connsiteY24" fmla="*/ 216440 h 962025"/>
                <a:gd name="connsiteX25" fmla="*/ 450765 w 523875"/>
                <a:gd name="connsiteY25" fmla="*/ 217508 h 962025"/>
                <a:gd name="connsiteX26" fmla="*/ 450132 w 523875"/>
                <a:gd name="connsiteY26" fmla="*/ 253714 h 962025"/>
                <a:gd name="connsiteX27" fmla="*/ 425125 w 523875"/>
                <a:gd name="connsiteY27" fmla="*/ 265545 h 962025"/>
                <a:gd name="connsiteX28" fmla="*/ 408664 w 523875"/>
                <a:gd name="connsiteY28" fmla="*/ 268829 h 962025"/>
                <a:gd name="connsiteX29" fmla="*/ 397269 w 523875"/>
                <a:gd name="connsiteY29" fmla="*/ 271480 h 962025"/>
                <a:gd name="connsiteX30" fmla="*/ 390938 w 523875"/>
                <a:gd name="connsiteY30" fmla="*/ 275793 h 962025"/>
                <a:gd name="connsiteX31" fmla="*/ 384132 w 523875"/>
                <a:gd name="connsiteY31" fmla="*/ 276347 h 962025"/>
                <a:gd name="connsiteX32" fmla="*/ 378434 w 523875"/>
                <a:gd name="connsiteY32" fmla="*/ 273102 h 962025"/>
                <a:gd name="connsiteX33" fmla="*/ 364822 w 523875"/>
                <a:gd name="connsiteY33" fmla="*/ 272588 h 962025"/>
                <a:gd name="connsiteX34" fmla="*/ 311326 w 523875"/>
                <a:gd name="connsiteY34" fmla="*/ 276901 h 962025"/>
                <a:gd name="connsiteX35" fmla="*/ 310692 w 523875"/>
                <a:gd name="connsiteY35" fmla="*/ 294153 h 962025"/>
                <a:gd name="connsiteX36" fmla="*/ 311800 w 523875"/>
                <a:gd name="connsiteY36" fmla="*/ 324937 h 962025"/>
                <a:gd name="connsiteX37" fmla="*/ 308002 w 523875"/>
                <a:gd name="connsiteY37" fmla="*/ 346700 h 962025"/>
                <a:gd name="connsiteX38" fmla="*/ 324937 w 523875"/>
                <a:gd name="connsiteY38" fmla="*/ 349232 h 962025"/>
                <a:gd name="connsiteX39" fmla="*/ 317973 w 523875"/>
                <a:gd name="connsiteY39" fmla="*/ 418121 h 962025"/>
                <a:gd name="connsiteX40" fmla="*/ 329844 w 523875"/>
                <a:gd name="connsiteY40" fmla="*/ 434265 h 962025"/>
                <a:gd name="connsiteX41" fmla="*/ 335067 w 523875"/>
                <a:gd name="connsiteY41" fmla="*/ 434265 h 962025"/>
                <a:gd name="connsiteX42" fmla="*/ 339657 w 523875"/>
                <a:gd name="connsiteY42" fmla="*/ 443485 h 962025"/>
                <a:gd name="connsiteX43" fmla="*/ 341398 w 523875"/>
                <a:gd name="connsiteY43" fmla="*/ 454168 h 962025"/>
                <a:gd name="connsiteX44" fmla="*/ 331268 w 523875"/>
                <a:gd name="connsiteY44" fmla="*/ 455870 h 962025"/>
                <a:gd name="connsiteX45" fmla="*/ 331110 w 523875"/>
                <a:gd name="connsiteY45" fmla="*/ 496427 h 962025"/>
                <a:gd name="connsiteX46" fmla="*/ 334275 w 523875"/>
                <a:gd name="connsiteY46" fmla="*/ 506122 h 962025"/>
                <a:gd name="connsiteX47" fmla="*/ 337441 w 523875"/>
                <a:gd name="connsiteY47" fmla="*/ 522345 h 962025"/>
                <a:gd name="connsiteX48" fmla="*/ 327944 w 523875"/>
                <a:gd name="connsiteY48" fmla="*/ 519892 h 962025"/>
                <a:gd name="connsiteX49" fmla="*/ 313067 w 523875"/>
                <a:gd name="connsiteY49" fmla="*/ 534888 h 962025"/>
                <a:gd name="connsiteX50" fmla="*/ 286793 w 523875"/>
                <a:gd name="connsiteY50" fmla="*/ 544622 h 962025"/>
                <a:gd name="connsiteX51" fmla="*/ 263527 w 523875"/>
                <a:gd name="connsiteY51" fmla="*/ 543554 h 962025"/>
                <a:gd name="connsiteX52" fmla="*/ 264951 w 523875"/>
                <a:gd name="connsiteY52" fmla="*/ 582172 h 962025"/>
                <a:gd name="connsiteX53" fmla="*/ 259886 w 523875"/>
                <a:gd name="connsiteY53" fmla="*/ 586367 h 962025"/>
                <a:gd name="connsiteX54" fmla="*/ 259728 w 523875"/>
                <a:gd name="connsiteY54" fmla="*/ 600809 h 962025"/>
                <a:gd name="connsiteX55" fmla="*/ 264635 w 523875"/>
                <a:gd name="connsiteY55" fmla="*/ 604370 h 962025"/>
                <a:gd name="connsiteX56" fmla="*/ 268750 w 523875"/>
                <a:gd name="connsiteY56" fmla="*/ 665464 h 962025"/>
                <a:gd name="connsiteX57" fmla="*/ 265109 w 523875"/>
                <a:gd name="connsiteY57" fmla="*/ 701116 h 962025"/>
                <a:gd name="connsiteX58" fmla="*/ 256088 w 523875"/>
                <a:gd name="connsiteY58" fmla="*/ 705785 h 962025"/>
                <a:gd name="connsiteX59" fmla="*/ 256088 w 523875"/>
                <a:gd name="connsiteY59" fmla="*/ 714292 h 962025"/>
                <a:gd name="connsiteX60" fmla="*/ 283944 w 523875"/>
                <a:gd name="connsiteY60" fmla="*/ 733047 h 962025"/>
                <a:gd name="connsiteX61" fmla="*/ 305628 w 523875"/>
                <a:gd name="connsiteY61" fmla="*/ 749745 h 962025"/>
                <a:gd name="connsiteX62" fmla="*/ 315916 w 523875"/>
                <a:gd name="connsiteY62" fmla="*/ 763278 h 962025"/>
                <a:gd name="connsiteX63" fmla="*/ 309426 w 523875"/>
                <a:gd name="connsiteY63" fmla="*/ 777879 h 962025"/>
                <a:gd name="connsiteX64" fmla="*/ 304203 w 523875"/>
                <a:gd name="connsiteY64" fmla="*/ 781202 h 962025"/>
                <a:gd name="connsiteX65" fmla="*/ 309743 w 523875"/>
                <a:gd name="connsiteY65" fmla="*/ 794141 h 962025"/>
                <a:gd name="connsiteX66" fmla="*/ 309426 w 523875"/>
                <a:gd name="connsiteY66" fmla="*/ 830980 h 962025"/>
                <a:gd name="connsiteX67" fmla="*/ 300246 w 523875"/>
                <a:gd name="connsiteY67" fmla="*/ 844552 h 962025"/>
                <a:gd name="connsiteX68" fmla="*/ 295182 w 523875"/>
                <a:gd name="connsiteY68" fmla="*/ 868293 h 962025"/>
                <a:gd name="connsiteX69" fmla="*/ 294707 w 523875"/>
                <a:gd name="connsiteY69" fmla="*/ 885980 h 962025"/>
                <a:gd name="connsiteX70" fmla="*/ 280779 w 523875"/>
                <a:gd name="connsiteY70" fmla="*/ 884753 h 962025"/>
                <a:gd name="connsiteX71" fmla="*/ 280146 w 523875"/>
                <a:gd name="connsiteY71" fmla="*/ 894725 h 962025"/>
                <a:gd name="connsiteX72" fmla="*/ 261944 w 523875"/>
                <a:gd name="connsiteY72" fmla="*/ 895239 h 962025"/>
                <a:gd name="connsiteX73" fmla="*/ 255455 w 523875"/>
                <a:gd name="connsiteY73" fmla="*/ 904340 h 962025"/>
                <a:gd name="connsiteX74" fmla="*/ 256563 w 523875"/>
                <a:gd name="connsiteY74" fmla="*/ 919732 h 962025"/>
                <a:gd name="connsiteX75" fmla="*/ 251181 w 523875"/>
                <a:gd name="connsiteY75" fmla="*/ 927685 h 962025"/>
                <a:gd name="connsiteX76" fmla="*/ 252448 w 523875"/>
                <a:gd name="connsiteY76" fmla="*/ 942088 h 962025"/>
                <a:gd name="connsiteX77" fmla="*/ 257829 w 523875"/>
                <a:gd name="connsiteY77" fmla="*/ 948498 h 962025"/>
                <a:gd name="connsiteX78" fmla="*/ 228232 w 523875"/>
                <a:gd name="connsiteY78" fmla="*/ 959301 h 962025"/>
                <a:gd name="connsiteX79" fmla="*/ 227757 w 523875"/>
                <a:gd name="connsiteY79" fmla="*/ 965394 h 962025"/>
                <a:gd name="connsiteX80" fmla="*/ 208606 w 523875"/>
                <a:gd name="connsiteY80" fmla="*/ 964049 h 962025"/>
                <a:gd name="connsiteX81" fmla="*/ 199267 w 523875"/>
                <a:gd name="connsiteY81" fmla="*/ 967729 h 962025"/>
                <a:gd name="connsiteX82" fmla="*/ 169987 w 523875"/>
                <a:gd name="connsiteY82" fmla="*/ 914628 h 962025"/>
                <a:gd name="connsiteX83" fmla="*/ 140231 w 523875"/>
                <a:gd name="connsiteY83" fmla="*/ 913955 h 962025"/>
                <a:gd name="connsiteX84" fmla="*/ 140389 w 523875"/>
                <a:gd name="connsiteY84" fmla="*/ 902164 h 962025"/>
                <a:gd name="connsiteX85" fmla="*/ 135483 w 523875"/>
                <a:gd name="connsiteY85" fmla="*/ 885426 h 962025"/>
                <a:gd name="connsiteX86" fmla="*/ 126145 w 523875"/>
                <a:gd name="connsiteY86" fmla="*/ 886217 h 962025"/>
                <a:gd name="connsiteX87" fmla="*/ 116015 w 523875"/>
                <a:gd name="connsiteY87" fmla="*/ 881271 h 962025"/>
                <a:gd name="connsiteX88" fmla="*/ 93065 w 523875"/>
                <a:gd name="connsiteY88" fmla="*/ 882656 h 962025"/>
                <a:gd name="connsiteX89" fmla="*/ 97655 w 523875"/>
                <a:gd name="connsiteY89" fmla="*/ 889897 h 962025"/>
                <a:gd name="connsiteX90" fmla="*/ 87367 w 523875"/>
                <a:gd name="connsiteY90" fmla="*/ 902124 h 962025"/>
                <a:gd name="connsiteX91" fmla="*/ 78662 w 523875"/>
                <a:gd name="connsiteY91" fmla="*/ 899077 h 962025"/>
                <a:gd name="connsiteX92" fmla="*/ 77238 w 523875"/>
                <a:gd name="connsiteY92" fmla="*/ 905804 h 962025"/>
                <a:gd name="connsiteX93" fmla="*/ 58720 w 523875"/>
                <a:gd name="connsiteY93" fmla="*/ 914905 h 962025"/>
                <a:gd name="connsiteX94" fmla="*/ 50648 w 523875"/>
                <a:gd name="connsiteY94" fmla="*/ 914984 h 962025"/>
                <a:gd name="connsiteX95" fmla="*/ 64576 w 523875"/>
                <a:gd name="connsiteY95" fmla="*/ 882458 h 962025"/>
                <a:gd name="connsiteX96" fmla="*/ 71857 w 523875"/>
                <a:gd name="connsiteY96" fmla="*/ 846688 h 962025"/>
                <a:gd name="connsiteX97" fmla="*/ 72015 w 523875"/>
                <a:gd name="connsiteY97" fmla="*/ 794379 h 962025"/>
                <a:gd name="connsiteX98" fmla="*/ 68691 w 523875"/>
                <a:gd name="connsiteY98" fmla="*/ 789749 h 962025"/>
                <a:gd name="connsiteX99" fmla="*/ 68533 w 523875"/>
                <a:gd name="connsiteY99" fmla="*/ 771508 h 962025"/>
                <a:gd name="connsiteX100" fmla="*/ 63626 w 523875"/>
                <a:gd name="connsiteY100" fmla="*/ 764465 h 962025"/>
                <a:gd name="connsiteX101" fmla="*/ 48748 w 523875"/>
                <a:gd name="connsiteY101" fmla="*/ 702263 h 962025"/>
                <a:gd name="connsiteX102" fmla="*/ 62202 w 523875"/>
                <a:gd name="connsiteY102" fmla="*/ 697001 h 962025"/>
                <a:gd name="connsiteX103" fmla="*/ 62518 w 523875"/>
                <a:gd name="connsiteY103" fmla="*/ 688454 h 962025"/>
                <a:gd name="connsiteX104" fmla="*/ 90216 w 523875"/>
                <a:gd name="connsiteY104" fmla="*/ 678285 h 962025"/>
                <a:gd name="connsiteX105" fmla="*/ 86259 w 523875"/>
                <a:gd name="connsiteY105" fmla="*/ 670806 h 962025"/>
                <a:gd name="connsiteX106" fmla="*/ 86418 w 523875"/>
                <a:gd name="connsiteY106" fmla="*/ 647856 h 962025"/>
                <a:gd name="connsiteX107" fmla="*/ 91166 w 523875"/>
                <a:gd name="connsiteY107" fmla="*/ 642475 h 962025"/>
                <a:gd name="connsiteX108" fmla="*/ 99871 w 523875"/>
                <a:gd name="connsiteY108" fmla="*/ 637964 h 962025"/>
                <a:gd name="connsiteX109" fmla="*/ 115699 w 523875"/>
                <a:gd name="connsiteY109" fmla="*/ 620633 h 962025"/>
                <a:gd name="connsiteX110" fmla="*/ 115382 w 523875"/>
                <a:gd name="connsiteY110" fmla="*/ 613155 h 962025"/>
                <a:gd name="connsiteX111" fmla="*/ 110159 w 523875"/>
                <a:gd name="connsiteY111" fmla="*/ 608881 h 962025"/>
                <a:gd name="connsiteX112" fmla="*/ 110475 w 523875"/>
                <a:gd name="connsiteY112" fmla="*/ 600295 h 962025"/>
                <a:gd name="connsiteX113" fmla="*/ 104936 w 523875"/>
                <a:gd name="connsiteY113" fmla="*/ 599187 h 962025"/>
                <a:gd name="connsiteX114" fmla="*/ 105094 w 523875"/>
                <a:gd name="connsiteY114" fmla="*/ 582172 h 962025"/>
                <a:gd name="connsiteX115" fmla="*/ 110792 w 523875"/>
                <a:gd name="connsiteY115" fmla="*/ 577345 h 962025"/>
                <a:gd name="connsiteX116" fmla="*/ 110317 w 523875"/>
                <a:gd name="connsiteY116" fmla="*/ 559777 h 962025"/>
                <a:gd name="connsiteX117" fmla="*/ 160174 w 523875"/>
                <a:gd name="connsiteY117" fmla="*/ 545849 h 962025"/>
                <a:gd name="connsiteX118" fmla="*/ 138015 w 523875"/>
                <a:gd name="connsiteY118" fmla="*/ 523967 h 962025"/>
                <a:gd name="connsiteX119" fmla="*/ 133267 w 523875"/>
                <a:gd name="connsiteY119" fmla="*/ 495676 h 962025"/>
                <a:gd name="connsiteX120" fmla="*/ 139123 w 523875"/>
                <a:gd name="connsiteY120" fmla="*/ 490255 h 962025"/>
                <a:gd name="connsiteX121" fmla="*/ 141972 w 523875"/>
                <a:gd name="connsiteY121" fmla="*/ 464891 h 962025"/>
                <a:gd name="connsiteX122" fmla="*/ 162073 w 523875"/>
                <a:gd name="connsiteY122" fmla="*/ 418121 h 962025"/>
                <a:gd name="connsiteX123" fmla="*/ 184073 w 523875"/>
                <a:gd name="connsiteY123" fmla="*/ 372617 h 962025"/>
                <a:gd name="connsiteX124" fmla="*/ 209239 w 523875"/>
                <a:gd name="connsiteY124" fmla="*/ 351883 h 962025"/>
                <a:gd name="connsiteX125" fmla="*/ 210188 w 523875"/>
                <a:gd name="connsiteY125" fmla="*/ 328815 h 962025"/>
                <a:gd name="connsiteX126" fmla="*/ 191512 w 523875"/>
                <a:gd name="connsiteY126" fmla="*/ 313581 h 962025"/>
                <a:gd name="connsiteX127" fmla="*/ 181699 w 523875"/>
                <a:gd name="connsiteY127" fmla="*/ 280502 h 962025"/>
                <a:gd name="connsiteX128" fmla="*/ 175684 w 523875"/>
                <a:gd name="connsiteY128" fmla="*/ 249678 h 962025"/>
                <a:gd name="connsiteX129" fmla="*/ 149411 w 523875"/>
                <a:gd name="connsiteY129" fmla="*/ 240221 h 962025"/>
                <a:gd name="connsiteX130" fmla="*/ 147828 w 523875"/>
                <a:gd name="connsiteY130" fmla="*/ 249915 h 962025"/>
                <a:gd name="connsiteX131" fmla="*/ 138015 w 523875"/>
                <a:gd name="connsiteY131" fmla="*/ 254980 h 962025"/>
                <a:gd name="connsiteX132" fmla="*/ 126778 w 523875"/>
                <a:gd name="connsiteY132" fmla="*/ 241724 h 962025"/>
                <a:gd name="connsiteX133" fmla="*/ 99396 w 523875"/>
                <a:gd name="connsiteY133" fmla="*/ 235987 h 962025"/>
                <a:gd name="connsiteX134" fmla="*/ 55396 w 523875"/>
                <a:gd name="connsiteY134" fmla="*/ 233929 h 962025"/>
                <a:gd name="connsiteX135" fmla="*/ 49382 w 523875"/>
                <a:gd name="connsiteY135" fmla="*/ 226372 h 962025"/>
                <a:gd name="connsiteX136" fmla="*/ 7755 w 523875"/>
                <a:gd name="connsiteY136" fmla="*/ 227005 h 962025"/>
                <a:gd name="connsiteX137" fmla="*/ 6806 w 523875"/>
                <a:gd name="connsiteY137" fmla="*/ 238599 h 962025"/>
                <a:gd name="connsiteX138" fmla="*/ 11396 w 523875"/>
                <a:gd name="connsiteY138" fmla="*/ 174339 h 962025"/>
                <a:gd name="connsiteX139" fmla="*/ 9180 w 523875"/>
                <a:gd name="connsiteY139" fmla="*/ 107429 h 962025"/>
                <a:gd name="connsiteX140" fmla="*/ 0 w 523875"/>
                <a:gd name="connsiteY140" fmla="*/ 15907 h 9620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Lst>
              <a:rect l="l" t="t" r="r" b="b"/>
              <a:pathLst>
                <a:path w="523875" h="962025">
                  <a:moveTo>
                    <a:pt x="0" y="15907"/>
                  </a:moveTo>
                  <a:lnTo>
                    <a:pt x="0" y="15907"/>
                  </a:lnTo>
                  <a:lnTo>
                    <a:pt x="15986" y="12425"/>
                  </a:lnTo>
                  <a:lnTo>
                    <a:pt x="85468" y="0"/>
                  </a:lnTo>
                  <a:lnTo>
                    <a:pt x="91166" y="38342"/>
                  </a:lnTo>
                  <a:lnTo>
                    <a:pt x="100821" y="65288"/>
                  </a:lnTo>
                  <a:lnTo>
                    <a:pt x="124245" y="60975"/>
                  </a:lnTo>
                  <a:lnTo>
                    <a:pt x="138965" y="58285"/>
                  </a:lnTo>
                  <a:lnTo>
                    <a:pt x="145138" y="57968"/>
                  </a:lnTo>
                  <a:lnTo>
                    <a:pt x="179325" y="56108"/>
                  </a:lnTo>
                  <a:lnTo>
                    <a:pt x="183282" y="115501"/>
                  </a:lnTo>
                  <a:lnTo>
                    <a:pt x="194044" y="153843"/>
                  </a:lnTo>
                  <a:lnTo>
                    <a:pt x="206073" y="152220"/>
                  </a:lnTo>
                  <a:lnTo>
                    <a:pt x="208289" y="158156"/>
                  </a:lnTo>
                  <a:lnTo>
                    <a:pt x="217944" y="163577"/>
                  </a:lnTo>
                  <a:lnTo>
                    <a:pt x="232188" y="174339"/>
                  </a:lnTo>
                  <a:lnTo>
                    <a:pt x="243584" y="181897"/>
                  </a:lnTo>
                  <a:lnTo>
                    <a:pt x="250390" y="184073"/>
                  </a:lnTo>
                  <a:lnTo>
                    <a:pt x="257829" y="185656"/>
                  </a:lnTo>
                  <a:lnTo>
                    <a:pt x="258937" y="209951"/>
                  </a:lnTo>
                  <a:lnTo>
                    <a:pt x="360865" y="207814"/>
                  </a:lnTo>
                  <a:lnTo>
                    <a:pt x="394894" y="206746"/>
                  </a:lnTo>
                  <a:lnTo>
                    <a:pt x="473557" y="204570"/>
                  </a:lnTo>
                  <a:lnTo>
                    <a:pt x="529902" y="206192"/>
                  </a:lnTo>
                  <a:lnTo>
                    <a:pt x="529269" y="216440"/>
                  </a:lnTo>
                  <a:lnTo>
                    <a:pt x="450765" y="217508"/>
                  </a:lnTo>
                  <a:lnTo>
                    <a:pt x="450132" y="253714"/>
                  </a:lnTo>
                  <a:lnTo>
                    <a:pt x="425125" y="265545"/>
                  </a:lnTo>
                  <a:lnTo>
                    <a:pt x="408664" y="268829"/>
                  </a:lnTo>
                  <a:lnTo>
                    <a:pt x="397269" y="271480"/>
                  </a:lnTo>
                  <a:lnTo>
                    <a:pt x="390938" y="275793"/>
                  </a:lnTo>
                  <a:lnTo>
                    <a:pt x="384132" y="276347"/>
                  </a:lnTo>
                  <a:lnTo>
                    <a:pt x="378434" y="273102"/>
                  </a:lnTo>
                  <a:lnTo>
                    <a:pt x="364822" y="272588"/>
                  </a:lnTo>
                  <a:lnTo>
                    <a:pt x="311326" y="276901"/>
                  </a:lnTo>
                  <a:lnTo>
                    <a:pt x="310692" y="294153"/>
                  </a:lnTo>
                  <a:lnTo>
                    <a:pt x="311800" y="324937"/>
                  </a:lnTo>
                  <a:lnTo>
                    <a:pt x="308002" y="346700"/>
                  </a:lnTo>
                  <a:lnTo>
                    <a:pt x="324937" y="349232"/>
                  </a:lnTo>
                  <a:lnTo>
                    <a:pt x="317973" y="418121"/>
                  </a:lnTo>
                  <a:lnTo>
                    <a:pt x="329844" y="434265"/>
                  </a:lnTo>
                  <a:lnTo>
                    <a:pt x="335067" y="434265"/>
                  </a:lnTo>
                  <a:lnTo>
                    <a:pt x="339657" y="443485"/>
                  </a:lnTo>
                  <a:lnTo>
                    <a:pt x="341398" y="454168"/>
                  </a:lnTo>
                  <a:lnTo>
                    <a:pt x="331268" y="455870"/>
                  </a:lnTo>
                  <a:lnTo>
                    <a:pt x="331110" y="496427"/>
                  </a:lnTo>
                  <a:lnTo>
                    <a:pt x="334275" y="506122"/>
                  </a:lnTo>
                  <a:lnTo>
                    <a:pt x="337441" y="522345"/>
                  </a:lnTo>
                  <a:lnTo>
                    <a:pt x="327944" y="519892"/>
                  </a:lnTo>
                  <a:lnTo>
                    <a:pt x="313067" y="534888"/>
                  </a:lnTo>
                  <a:lnTo>
                    <a:pt x="286793" y="544622"/>
                  </a:lnTo>
                  <a:lnTo>
                    <a:pt x="263527" y="543554"/>
                  </a:lnTo>
                  <a:lnTo>
                    <a:pt x="264951" y="582172"/>
                  </a:lnTo>
                  <a:lnTo>
                    <a:pt x="259886" y="586367"/>
                  </a:lnTo>
                  <a:lnTo>
                    <a:pt x="259728" y="600809"/>
                  </a:lnTo>
                  <a:lnTo>
                    <a:pt x="264635" y="604370"/>
                  </a:lnTo>
                  <a:lnTo>
                    <a:pt x="268750" y="665464"/>
                  </a:lnTo>
                  <a:lnTo>
                    <a:pt x="265109" y="701116"/>
                  </a:lnTo>
                  <a:lnTo>
                    <a:pt x="256088" y="705785"/>
                  </a:lnTo>
                  <a:lnTo>
                    <a:pt x="256088" y="714292"/>
                  </a:lnTo>
                  <a:lnTo>
                    <a:pt x="283944" y="733047"/>
                  </a:lnTo>
                  <a:lnTo>
                    <a:pt x="305628" y="749745"/>
                  </a:lnTo>
                  <a:lnTo>
                    <a:pt x="315916" y="763278"/>
                  </a:lnTo>
                  <a:lnTo>
                    <a:pt x="309426" y="777879"/>
                  </a:lnTo>
                  <a:lnTo>
                    <a:pt x="304203" y="781202"/>
                  </a:lnTo>
                  <a:lnTo>
                    <a:pt x="309743" y="794141"/>
                  </a:lnTo>
                  <a:lnTo>
                    <a:pt x="309426" y="830980"/>
                  </a:lnTo>
                  <a:lnTo>
                    <a:pt x="300246" y="844552"/>
                  </a:lnTo>
                  <a:lnTo>
                    <a:pt x="295182" y="868293"/>
                  </a:lnTo>
                  <a:lnTo>
                    <a:pt x="294707" y="885980"/>
                  </a:lnTo>
                  <a:lnTo>
                    <a:pt x="280779" y="884753"/>
                  </a:lnTo>
                  <a:lnTo>
                    <a:pt x="280146" y="894725"/>
                  </a:lnTo>
                  <a:lnTo>
                    <a:pt x="261944" y="895239"/>
                  </a:lnTo>
                  <a:lnTo>
                    <a:pt x="255455" y="904340"/>
                  </a:lnTo>
                  <a:lnTo>
                    <a:pt x="256563" y="919732"/>
                  </a:lnTo>
                  <a:lnTo>
                    <a:pt x="251181" y="927685"/>
                  </a:lnTo>
                  <a:lnTo>
                    <a:pt x="252448" y="942088"/>
                  </a:lnTo>
                  <a:lnTo>
                    <a:pt x="257829" y="948498"/>
                  </a:lnTo>
                  <a:lnTo>
                    <a:pt x="228232" y="959301"/>
                  </a:lnTo>
                  <a:lnTo>
                    <a:pt x="227757" y="965394"/>
                  </a:lnTo>
                  <a:lnTo>
                    <a:pt x="208606" y="964049"/>
                  </a:lnTo>
                  <a:lnTo>
                    <a:pt x="199267" y="967729"/>
                  </a:lnTo>
                  <a:lnTo>
                    <a:pt x="169987" y="914628"/>
                  </a:lnTo>
                  <a:lnTo>
                    <a:pt x="140231" y="913955"/>
                  </a:lnTo>
                  <a:lnTo>
                    <a:pt x="140389" y="902164"/>
                  </a:lnTo>
                  <a:lnTo>
                    <a:pt x="135483" y="885426"/>
                  </a:lnTo>
                  <a:lnTo>
                    <a:pt x="126145" y="886217"/>
                  </a:lnTo>
                  <a:lnTo>
                    <a:pt x="116015" y="881271"/>
                  </a:lnTo>
                  <a:lnTo>
                    <a:pt x="93065" y="882656"/>
                  </a:lnTo>
                  <a:lnTo>
                    <a:pt x="97655" y="889897"/>
                  </a:lnTo>
                  <a:lnTo>
                    <a:pt x="87367" y="902124"/>
                  </a:lnTo>
                  <a:lnTo>
                    <a:pt x="78662" y="899077"/>
                  </a:lnTo>
                  <a:lnTo>
                    <a:pt x="77238" y="905804"/>
                  </a:lnTo>
                  <a:lnTo>
                    <a:pt x="58720" y="914905"/>
                  </a:lnTo>
                  <a:lnTo>
                    <a:pt x="50648" y="914984"/>
                  </a:lnTo>
                  <a:lnTo>
                    <a:pt x="64576" y="882458"/>
                  </a:lnTo>
                  <a:lnTo>
                    <a:pt x="71857" y="846688"/>
                  </a:lnTo>
                  <a:lnTo>
                    <a:pt x="72015" y="794379"/>
                  </a:lnTo>
                  <a:lnTo>
                    <a:pt x="68691" y="789749"/>
                  </a:lnTo>
                  <a:lnTo>
                    <a:pt x="68533" y="771508"/>
                  </a:lnTo>
                  <a:lnTo>
                    <a:pt x="63626" y="764465"/>
                  </a:lnTo>
                  <a:lnTo>
                    <a:pt x="48748" y="702263"/>
                  </a:lnTo>
                  <a:lnTo>
                    <a:pt x="62202" y="697001"/>
                  </a:lnTo>
                  <a:lnTo>
                    <a:pt x="62518" y="688454"/>
                  </a:lnTo>
                  <a:lnTo>
                    <a:pt x="90216" y="678285"/>
                  </a:lnTo>
                  <a:lnTo>
                    <a:pt x="86259" y="670806"/>
                  </a:lnTo>
                  <a:lnTo>
                    <a:pt x="86418" y="647856"/>
                  </a:lnTo>
                  <a:lnTo>
                    <a:pt x="91166" y="642475"/>
                  </a:lnTo>
                  <a:lnTo>
                    <a:pt x="99871" y="637964"/>
                  </a:lnTo>
                  <a:lnTo>
                    <a:pt x="115699" y="620633"/>
                  </a:lnTo>
                  <a:lnTo>
                    <a:pt x="115382" y="613155"/>
                  </a:lnTo>
                  <a:lnTo>
                    <a:pt x="110159" y="608881"/>
                  </a:lnTo>
                  <a:lnTo>
                    <a:pt x="110475" y="600295"/>
                  </a:lnTo>
                  <a:lnTo>
                    <a:pt x="104936" y="599187"/>
                  </a:lnTo>
                  <a:lnTo>
                    <a:pt x="105094" y="582172"/>
                  </a:lnTo>
                  <a:lnTo>
                    <a:pt x="110792" y="577345"/>
                  </a:lnTo>
                  <a:lnTo>
                    <a:pt x="110317" y="559777"/>
                  </a:lnTo>
                  <a:lnTo>
                    <a:pt x="160174" y="545849"/>
                  </a:lnTo>
                  <a:lnTo>
                    <a:pt x="138015" y="523967"/>
                  </a:lnTo>
                  <a:lnTo>
                    <a:pt x="133267" y="495676"/>
                  </a:lnTo>
                  <a:lnTo>
                    <a:pt x="139123" y="490255"/>
                  </a:lnTo>
                  <a:lnTo>
                    <a:pt x="141972" y="464891"/>
                  </a:lnTo>
                  <a:lnTo>
                    <a:pt x="162073" y="418121"/>
                  </a:lnTo>
                  <a:lnTo>
                    <a:pt x="184073" y="372617"/>
                  </a:lnTo>
                  <a:lnTo>
                    <a:pt x="209239" y="351883"/>
                  </a:lnTo>
                  <a:lnTo>
                    <a:pt x="210188" y="328815"/>
                  </a:lnTo>
                  <a:lnTo>
                    <a:pt x="191512" y="313581"/>
                  </a:lnTo>
                  <a:lnTo>
                    <a:pt x="181699" y="280502"/>
                  </a:lnTo>
                  <a:lnTo>
                    <a:pt x="175684" y="249678"/>
                  </a:lnTo>
                  <a:lnTo>
                    <a:pt x="149411" y="240221"/>
                  </a:lnTo>
                  <a:lnTo>
                    <a:pt x="147828" y="249915"/>
                  </a:lnTo>
                  <a:lnTo>
                    <a:pt x="138015" y="254980"/>
                  </a:lnTo>
                  <a:lnTo>
                    <a:pt x="126778" y="241724"/>
                  </a:lnTo>
                  <a:lnTo>
                    <a:pt x="99396" y="235987"/>
                  </a:lnTo>
                  <a:lnTo>
                    <a:pt x="55396" y="233929"/>
                  </a:lnTo>
                  <a:lnTo>
                    <a:pt x="49382" y="226372"/>
                  </a:lnTo>
                  <a:lnTo>
                    <a:pt x="7755" y="227005"/>
                  </a:lnTo>
                  <a:lnTo>
                    <a:pt x="6806" y="238599"/>
                  </a:lnTo>
                  <a:lnTo>
                    <a:pt x="11396" y="174339"/>
                  </a:lnTo>
                  <a:lnTo>
                    <a:pt x="9180" y="107429"/>
                  </a:lnTo>
                  <a:lnTo>
                    <a:pt x="0" y="15907"/>
                  </a:lnTo>
                </a:path>
              </a:pathLst>
            </a:custGeom>
            <a:solidFill>
              <a:srgbClr val="FFFFFF"/>
            </a:solidFill>
            <a:ln w="5132" cap="flat">
              <a:solidFill>
                <a:srgbClr val="030000"/>
              </a:solidFill>
              <a:prstDash val="solid"/>
              <a:miter/>
            </a:ln>
          </xdr:spPr>
          <xdr:txBody>
            <a:bodyPr rtlCol="0" anchor="ctr"/>
            <a:lstStyle/>
            <a:p>
              <a:endParaRPr lang="en-US"/>
            </a:p>
          </xdr:txBody>
        </xdr:sp>
        <xdr:sp macro="" textlink="">
          <xdr:nvSpPr>
            <xdr:cNvPr id="98" name="37_1">
              <a:extLst>
                <a:ext uri="{FF2B5EF4-FFF2-40B4-BE49-F238E27FC236}">
                  <a16:creationId xmlns:a16="http://schemas.microsoft.com/office/drawing/2014/main" id="{6FA7F3DF-D059-344E-AEDB-2D89699F2EDD}"/>
                </a:ext>
              </a:extLst>
            </xdr:cNvPr>
            <xdr:cNvSpPr/>
          </xdr:nvSpPr>
          <xdr:spPr>
            <a:xfrm>
              <a:off x="5711879" y="5724981"/>
              <a:ext cx="367242" cy="312208"/>
            </a:xfrm>
            <a:custGeom>
              <a:avLst/>
              <a:gdLst>
                <a:gd name="connsiteX0" fmla="*/ 21684 w 371475"/>
                <a:gd name="connsiteY0" fmla="*/ 144623 h 295275"/>
                <a:gd name="connsiteX1" fmla="*/ 21684 w 371475"/>
                <a:gd name="connsiteY1" fmla="*/ 144623 h 295275"/>
                <a:gd name="connsiteX2" fmla="*/ 0 w 371475"/>
                <a:gd name="connsiteY2" fmla="*/ 31853 h 295275"/>
                <a:gd name="connsiteX3" fmla="*/ 28489 w 371475"/>
                <a:gd name="connsiteY3" fmla="*/ 25363 h 295275"/>
                <a:gd name="connsiteX4" fmla="*/ 74547 w 371475"/>
                <a:gd name="connsiteY4" fmla="*/ 23227 h 295275"/>
                <a:gd name="connsiteX5" fmla="*/ 105886 w 371475"/>
                <a:gd name="connsiteY5" fmla="*/ 42655 h 295275"/>
                <a:gd name="connsiteX6" fmla="*/ 112691 w 371475"/>
                <a:gd name="connsiteY6" fmla="*/ 50213 h 295275"/>
                <a:gd name="connsiteX7" fmla="*/ 161598 w 371475"/>
                <a:gd name="connsiteY7" fmla="*/ 70195 h 295275"/>
                <a:gd name="connsiteX8" fmla="*/ 175368 w 371475"/>
                <a:gd name="connsiteY8" fmla="*/ 74745 h 295275"/>
                <a:gd name="connsiteX9" fmla="*/ 177584 w 371475"/>
                <a:gd name="connsiteY9" fmla="*/ 73677 h 295275"/>
                <a:gd name="connsiteX10" fmla="*/ 197526 w 371475"/>
                <a:gd name="connsiteY10" fmla="*/ 75576 h 295275"/>
                <a:gd name="connsiteX11" fmla="*/ 215095 w 371475"/>
                <a:gd name="connsiteY11" fmla="*/ 78781 h 295275"/>
                <a:gd name="connsiteX12" fmla="*/ 223167 w 371475"/>
                <a:gd name="connsiteY12" fmla="*/ 77752 h 295275"/>
                <a:gd name="connsiteX13" fmla="*/ 223642 w 371475"/>
                <a:gd name="connsiteY13" fmla="*/ 71223 h 295275"/>
                <a:gd name="connsiteX14" fmla="*/ 268117 w 371475"/>
                <a:gd name="connsiteY14" fmla="*/ 70709 h 295275"/>
                <a:gd name="connsiteX15" fmla="*/ 266850 w 371475"/>
                <a:gd name="connsiteY15" fmla="*/ 30230 h 295275"/>
                <a:gd name="connsiteX16" fmla="*/ 267484 w 371475"/>
                <a:gd name="connsiteY16" fmla="*/ 4313 h 295275"/>
                <a:gd name="connsiteX17" fmla="*/ 301038 w 371475"/>
                <a:gd name="connsiteY17" fmla="*/ 0 h 295275"/>
                <a:gd name="connsiteX18" fmla="*/ 303254 w 371475"/>
                <a:gd name="connsiteY18" fmla="*/ 9180 h 295275"/>
                <a:gd name="connsiteX19" fmla="*/ 303254 w 371475"/>
                <a:gd name="connsiteY19" fmla="*/ 23227 h 295275"/>
                <a:gd name="connsiteX20" fmla="*/ 330635 w 371475"/>
                <a:gd name="connsiteY20" fmla="*/ 98249 h 295275"/>
                <a:gd name="connsiteX21" fmla="*/ 350578 w 371475"/>
                <a:gd name="connsiteY21" fmla="*/ 168918 h 295275"/>
                <a:gd name="connsiteX22" fmla="*/ 366722 w 371475"/>
                <a:gd name="connsiteY22" fmla="*/ 200257 h 295275"/>
                <a:gd name="connsiteX23" fmla="*/ 371628 w 371475"/>
                <a:gd name="connsiteY23" fmla="*/ 259649 h 295275"/>
                <a:gd name="connsiteX24" fmla="*/ 372261 w 371475"/>
                <a:gd name="connsiteY24" fmla="*/ 294707 h 295275"/>
                <a:gd name="connsiteX25" fmla="*/ 315916 w 371475"/>
                <a:gd name="connsiteY25" fmla="*/ 293084 h 295275"/>
                <a:gd name="connsiteX26" fmla="*/ 237253 w 371475"/>
                <a:gd name="connsiteY26" fmla="*/ 295261 h 295275"/>
                <a:gd name="connsiteX27" fmla="*/ 203224 w 371475"/>
                <a:gd name="connsiteY27" fmla="*/ 296329 h 295275"/>
                <a:gd name="connsiteX28" fmla="*/ 101296 w 371475"/>
                <a:gd name="connsiteY28" fmla="*/ 298466 h 295275"/>
                <a:gd name="connsiteX29" fmla="*/ 100188 w 371475"/>
                <a:gd name="connsiteY29" fmla="*/ 274171 h 295275"/>
                <a:gd name="connsiteX30" fmla="*/ 92749 w 371475"/>
                <a:gd name="connsiteY30" fmla="*/ 272588 h 295275"/>
                <a:gd name="connsiteX31" fmla="*/ 85943 w 371475"/>
                <a:gd name="connsiteY31" fmla="*/ 270412 h 295275"/>
                <a:gd name="connsiteX32" fmla="*/ 74547 w 371475"/>
                <a:gd name="connsiteY32" fmla="*/ 262854 h 295275"/>
                <a:gd name="connsiteX33" fmla="*/ 60303 w 371475"/>
                <a:gd name="connsiteY33" fmla="*/ 252091 h 295275"/>
                <a:gd name="connsiteX34" fmla="*/ 50648 w 371475"/>
                <a:gd name="connsiteY34" fmla="*/ 246671 h 295275"/>
                <a:gd name="connsiteX35" fmla="*/ 48432 w 371475"/>
                <a:gd name="connsiteY35" fmla="*/ 240735 h 295275"/>
                <a:gd name="connsiteX36" fmla="*/ 36403 w 371475"/>
                <a:gd name="connsiteY36" fmla="*/ 242358 h 295275"/>
                <a:gd name="connsiteX37" fmla="*/ 25640 w 371475"/>
                <a:gd name="connsiteY37" fmla="*/ 204016 h 295275"/>
                <a:gd name="connsiteX38" fmla="*/ 21684 w 371475"/>
                <a:gd name="connsiteY38" fmla="*/ 144623 h 2952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Lst>
              <a:rect l="l" t="t" r="r" b="b"/>
              <a:pathLst>
                <a:path w="371475" h="295275">
                  <a:moveTo>
                    <a:pt x="21684" y="144623"/>
                  </a:moveTo>
                  <a:lnTo>
                    <a:pt x="21684" y="144623"/>
                  </a:lnTo>
                  <a:lnTo>
                    <a:pt x="0" y="31853"/>
                  </a:lnTo>
                  <a:lnTo>
                    <a:pt x="28489" y="25363"/>
                  </a:lnTo>
                  <a:lnTo>
                    <a:pt x="74547" y="23227"/>
                  </a:lnTo>
                  <a:lnTo>
                    <a:pt x="105886" y="42655"/>
                  </a:lnTo>
                  <a:lnTo>
                    <a:pt x="112691" y="50213"/>
                  </a:lnTo>
                  <a:lnTo>
                    <a:pt x="161598" y="70195"/>
                  </a:lnTo>
                  <a:lnTo>
                    <a:pt x="175368" y="74745"/>
                  </a:lnTo>
                  <a:lnTo>
                    <a:pt x="177584" y="73677"/>
                  </a:lnTo>
                  <a:lnTo>
                    <a:pt x="197526" y="75576"/>
                  </a:lnTo>
                  <a:lnTo>
                    <a:pt x="215095" y="78781"/>
                  </a:lnTo>
                  <a:lnTo>
                    <a:pt x="223167" y="77752"/>
                  </a:lnTo>
                  <a:lnTo>
                    <a:pt x="223642" y="71223"/>
                  </a:lnTo>
                  <a:lnTo>
                    <a:pt x="268117" y="70709"/>
                  </a:lnTo>
                  <a:lnTo>
                    <a:pt x="266850" y="30230"/>
                  </a:lnTo>
                  <a:lnTo>
                    <a:pt x="267484" y="4313"/>
                  </a:lnTo>
                  <a:lnTo>
                    <a:pt x="301038" y="0"/>
                  </a:lnTo>
                  <a:lnTo>
                    <a:pt x="303254" y="9180"/>
                  </a:lnTo>
                  <a:lnTo>
                    <a:pt x="303254" y="23227"/>
                  </a:lnTo>
                  <a:lnTo>
                    <a:pt x="330635" y="98249"/>
                  </a:lnTo>
                  <a:lnTo>
                    <a:pt x="350578" y="168918"/>
                  </a:lnTo>
                  <a:lnTo>
                    <a:pt x="366722" y="200257"/>
                  </a:lnTo>
                  <a:lnTo>
                    <a:pt x="371628" y="259649"/>
                  </a:lnTo>
                  <a:lnTo>
                    <a:pt x="372261" y="294707"/>
                  </a:lnTo>
                  <a:lnTo>
                    <a:pt x="315916" y="293084"/>
                  </a:lnTo>
                  <a:lnTo>
                    <a:pt x="237253" y="295261"/>
                  </a:lnTo>
                  <a:lnTo>
                    <a:pt x="203224" y="296329"/>
                  </a:lnTo>
                  <a:lnTo>
                    <a:pt x="101296" y="298466"/>
                  </a:lnTo>
                  <a:lnTo>
                    <a:pt x="100188" y="274171"/>
                  </a:lnTo>
                  <a:lnTo>
                    <a:pt x="92749" y="272588"/>
                  </a:lnTo>
                  <a:lnTo>
                    <a:pt x="85943" y="270412"/>
                  </a:lnTo>
                  <a:lnTo>
                    <a:pt x="74547" y="262854"/>
                  </a:lnTo>
                  <a:lnTo>
                    <a:pt x="60303" y="252091"/>
                  </a:lnTo>
                  <a:lnTo>
                    <a:pt x="50648" y="246671"/>
                  </a:lnTo>
                  <a:lnTo>
                    <a:pt x="48432" y="240735"/>
                  </a:lnTo>
                  <a:lnTo>
                    <a:pt x="36403" y="242358"/>
                  </a:lnTo>
                  <a:lnTo>
                    <a:pt x="25640" y="204016"/>
                  </a:lnTo>
                  <a:lnTo>
                    <a:pt x="21684" y="144623"/>
                  </a:lnTo>
                </a:path>
              </a:pathLst>
            </a:custGeom>
            <a:solidFill>
              <a:srgbClr val="C6E0B4"/>
            </a:solidFill>
            <a:ln w="5132" cap="flat">
              <a:solidFill>
                <a:srgbClr val="030000"/>
              </a:solidFill>
              <a:prstDash val="solid"/>
              <a:miter/>
            </a:ln>
          </xdr:spPr>
          <xdr:txBody>
            <a:bodyPr rtlCol="0" anchor="ctr"/>
            <a:lstStyle/>
            <a:p>
              <a:endParaRPr lang="en-US"/>
            </a:p>
          </xdr:txBody>
        </xdr:sp>
        <xdr:sp macro="" textlink="">
          <xdr:nvSpPr>
            <xdr:cNvPr id="99" name="36_1">
              <a:extLst>
                <a:ext uri="{FF2B5EF4-FFF2-40B4-BE49-F238E27FC236}">
                  <a16:creationId xmlns:a16="http://schemas.microsoft.com/office/drawing/2014/main" id="{D0AF4FF2-DB5B-454D-955C-FE43F5126F2D}"/>
                </a:ext>
              </a:extLst>
            </xdr:cNvPr>
            <xdr:cNvSpPr/>
          </xdr:nvSpPr>
          <xdr:spPr>
            <a:xfrm>
              <a:off x="5516094" y="5249844"/>
              <a:ext cx="557742" cy="635000"/>
            </a:xfrm>
            <a:custGeom>
              <a:avLst/>
              <a:gdLst>
                <a:gd name="connsiteX0" fmla="*/ 38144 w 561975"/>
                <a:gd name="connsiteY0" fmla="*/ 562626 h 609600"/>
                <a:gd name="connsiteX1" fmla="*/ 38144 w 561975"/>
                <a:gd name="connsiteY1" fmla="*/ 562626 h 609600"/>
                <a:gd name="connsiteX2" fmla="*/ 22317 w 561975"/>
                <a:gd name="connsiteY2" fmla="*/ 498683 h 609600"/>
                <a:gd name="connsiteX3" fmla="*/ 6331 w 561975"/>
                <a:gd name="connsiteY3" fmla="*/ 445226 h 609600"/>
                <a:gd name="connsiteX4" fmla="*/ 0 w 561975"/>
                <a:gd name="connsiteY4" fmla="*/ 399920 h 609600"/>
                <a:gd name="connsiteX5" fmla="*/ 633 w 561975"/>
                <a:gd name="connsiteY5" fmla="*/ 351883 h 609600"/>
                <a:gd name="connsiteX6" fmla="*/ 23899 w 561975"/>
                <a:gd name="connsiteY6" fmla="*/ 323275 h 609600"/>
                <a:gd name="connsiteX7" fmla="*/ 25166 w 561975"/>
                <a:gd name="connsiteY7" fmla="*/ 284419 h 609600"/>
                <a:gd name="connsiteX8" fmla="*/ 25166 w 561975"/>
                <a:gd name="connsiteY8" fmla="*/ 228825 h 609600"/>
                <a:gd name="connsiteX9" fmla="*/ 26274 w 561975"/>
                <a:gd name="connsiteY9" fmla="*/ 187832 h 609600"/>
                <a:gd name="connsiteX10" fmla="*/ 31338 w 561975"/>
                <a:gd name="connsiteY10" fmla="*/ 166228 h 609600"/>
                <a:gd name="connsiteX11" fmla="*/ 35295 w 561975"/>
                <a:gd name="connsiteY11" fmla="*/ 124127 h 609600"/>
                <a:gd name="connsiteX12" fmla="*/ 33079 w 561975"/>
                <a:gd name="connsiteY12" fmla="*/ 67464 h 609600"/>
                <a:gd name="connsiteX13" fmla="*/ 44475 w 561975"/>
                <a:gd name="connsiteY13" fmla="*/ 72331 h 609600"/>
                <a:gd name="connsiteX14" fmla="*/ 72964 w 561975"/>
                <a:gd name="connsiteY14" fmla="*/ 110080 h 609600"/>
                <a:gd name="connsiteX15" fmla="*/ 170778 w 561975"/>
                <a:gd name="connsiteY15" fmla="*/ 111702 h 609600"/>
                <a:gd name="connsiteX16" fmla="*/ 175843 w 561975"/>
                <a:gd name="connsiteY16" fmla="*/ 99317 h 609600"/>
                <a:gd name="connsiteX17" fmla="*/ 179325 w 561975"/>
                <a:gd name="connsiteY17" fmla="*/ 78267 h 609600"/>
                <a:gd name="connsiteX18" fmla="*/ 181541 w 561975"/>
                <a:gd name="connsiteY18" fmla="*/ 50727 h 609600"/>
                <a:gd name="connsiteX19" fmla="*/ 181541 w 561975"/>
                <a:gd name="connsiteY19" fmla="*/ 25917 h 609600"/>
                <a:gd name="connsiteX20" fmla="*/ 179958 w 561975"/>
                <a:gd name="connsiteY20" fmla="*/ 12425 h 609600"/>
                <a:gd name="connsiteX21" fmla="*/ 181541 w 561975"/>
                <a:gd name="connsiteY21" fmla="*/ 0 h 609600"/>
                <a:gd name="connsiteX22" fmla="*/ 231714 w 561975"/>
                <a:gd name="connsiteY22" fmla="*/ 4353 h 609600"/>
                <a:gd name="connsiteX23" fmla="*/ 270333 w 561975"/>
                <a:gd name="connsiteY23" fmla="*/ 10802 h 609600"/>
                <a:gd name="connsiteX24" fmla="*/ 292016 w 561975"/>
                <a:gd name="connsiteY24" fmla="*/ 11910 h 609600"/>
                <a:gd name="connsiteX25" fmla="*/ 339815 w 561975"/>
                <a:gd name="connsiteY25" fmla="*/ 6489 h 609600"/>
                <a:gd name="connsiteX26" fmla="*/ 366563 w 561975"/>
                <a:gd name="connsiteY26" fmla="*/ 2176 h 609600"/>
                <a:gd name="connsiteX27" fmla="*/ 409139 w 561975"/>
                <a:gd name="connsiteY27" fmla="*/ 181897 h 609600"/>
                <a:gd name="connsiteX28" fmla="*/ 425758 w 561975"/>
                <a:gd name="connsiteY28" fmla="*/ 232070 h 609600"/>
                <a:gd name="connsiteX29" fmla="*/ 485427 w 561975"/>
                <a:gd name="connsiteY29" fmla="*/ 222336 h 609600"/>
                <a:gd name="connsiteX30" fmla="*/ 513917 w 561975"/>
                <a:gd name="connsiteY30" fmla="*/ 214778 h 609600"/>
                <a:gd name="connsiteX31" fmla="*/ 540032 w 561975"/>
                <a:gd name="connsiteY31" fmla="*/ 202393 h 609600"/>
                <a:gd name="connsiteX32" fmla="*/ 541298 w 561975"/>
                <a:gd name="connsiteY32" fmla="*/ 275239 h 609600"/>
                <a:gd name="connsiteX33" fmla="*/ 546363 w 561975"/>
                <a:gd name="connsiteY33" fmla="*/ 325412 h 609600"/>
                <a:gd name="connsiteX34" fmla="*/ 549212 w 561975"/>
                <a:gd name="connsiteY34" fmla="*/ 402610 h 609600"/>
                <a:gd name="connsiteX35" fmla="*/ 556651 w 561975"/>
                <a:gd name="connsiteY35" fmla="*/ 407477 h 609600"/>
                <a:gd name="connsiteX36" fmla="*/ 565039 w 561975"/>
                <a:gd name="connsiteY36" fmla="*/ 469006 h 609600"/>
                <a:gd name="connsiteX37" fmla="*/ 521356 w 561975"/>
                <a:gd name="connsiteY37" fmla="*/ 466316 h 609600"/>
                <a:gd name="connsiteX38" fmla="*/ 496823 w 561975"/>
                <a:gd name="connsiteY38" fmla="*/ 458204 h 609600"/>
                <a:gd name="connsiteX39" fmla="*/ 463269 w 561975"/>
                <a:gd name="connsiteY39" fmla="*/ 462517 h 609600"/>
                <a:gd name="connsiteX40" fmla="*/ 462636 w 561975"/>
                <a:gd name="connsiteY40" fmla="*/ 488435 h 609600"/>
                <a:gd name="connsiteX41" fmla="*/ 463902 w 561975"/>
                <a:gd name="connsiteY41" fmla="*/ 528913 h 609600"/>
                <a:gd name="connsiteX42" fmla="*/ 419427 w 561975"/>
                <a:gd name="connsiteY42" fmla="*/ 529428 h 609600"/>
                <a:gd name="connsiteX43" fmla="*/ 418952 w 561975"/>
                <a:gd name="connsiteY43" fmla="*/ 535956 h 609600"/>
                <a:gd name="connsiteX44" fmla="*/ 410880 w 561975"/>
                <a:gd name="connsiteY44" fmla="*/ 536985 h 609600"/>
                <a:gd name="connsiteX45" fmla="*/ 393312 w 561975"/>
                <a:gd name="connsiteY45" fmla="*/ 533780 h 609600"/>
                <a:gd name="connsiteX46" fmla="*/ 373369 w 561975"/>
                <a:gd name="connsiteY46" fmla="*/ 531881 h 609600"/>
                <a:gd name="connsiteX47" fmla="*/ 371153 w 561975"/>
                <a:gd name="connsiteY47" fmla="*/ 532949 h 609600"/>
                <a:gd name="connsiteX48" fmla="*/ 357383 w 561975"/>
                <a:gd name="connsiteY48" fmla="*/ 528399 h 609600"/>
                <a:gd name="connsiteX49" fmla="*/ 308477 w 561975"/>
                <a:gd name="connsiteY49" fmla="*/ 508417 h 609600"/>
                <a:gd name="connsiteX50" fmla="*/ 301671 w 561975"/>
                <a:gd name="connsiteY50" fmla="*/ 500859 h 609600"/>
                <a:gd name="connsiteX51" fmla="*/ 270333 w 561975"/>
                <a:gd name="connsiteY51" fmla="*/ 481431 h 609600"/>
                <a:gd name="connsiteX52" fmla="*/ 224275 w 561975"/>
                <a:gd name="connsiteY52" fmla="*/ 483568 h 609600"/>
                <a:gd name="connsiteX53" fmla="*/ 195785 w 561975"/>
                <a:gd name="connsiteY53" fmla="*/ 490057 h 609600"/>
                <a:gd name="connsiteX54" fmla="*/ 217469 w 561975"/>
                <a:gd name="connsiteY54" fmla="*/ 602827 h 609600"/>
                <a:gd name="connsiteX55" fmla="*/ 183282 w 561975"/>
                <a:gd name="connsiteY55" fmla="*/ 604687 h 609600"/>
                <a:gd name="connsiteX56" fmla="*/ 177109 w 561975"/>
                <a:gd name="connsiteY56" fmla="*/ 605004 h 609600"/>
                <a:gd name="connsiteX57" fmla="*/ 162389 w 561975"/>
                <a:gd name="connsiteY57" fmla="*/ 607694 h 609600"/>
                <a:gd name="connsiteX58" fmla="*/ 138965 w 561975"/>
                <a:gd name="connsiteY58" fmla="*/ 612007 h 609600"/>
                <a:gd name="connsiteX59" fmla="*/ 129310 w 561975"/>
                <a:gd name="connsiteY59" fmla="*/ 585061 h 609600"/>
                <a:gd name="connsiteX60" fmla="*/ 123612 w 561975"/>
                <a:gd name="connsiteY60" fmla="*/ 546719 h 609600"/>
                <a:gd name="connsiteX61" fmla="*/ 54130 w 561975"/>
                <a:gd name="connsiteY61" fmla="*/ 559144 h 609600"/>
                <a:gd name="connsiteX62" fmla="*/ 38144 w 561975"/>
                <a:gd name="connsiteY62" fmla="*/ 562626 h 609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Lst>
              <a:rect l="l" t="t" r="r" b="b"/>
              <a:pathLst>
                <a:path w="561975" h="609600">
                  <a:moveTo>
                    <a:pt x="38144" y="562626"/>
                  </a:moveTo>
                  <a:lnTo>
                    <a:pt x="38144" y="562626"/>
                  </a:lnTo>
                  <a:lnTo>
                    <a:pt x="22317" y="498683"/>
                  </a:lnTo>
                  <a:lnTo>
                    <a:pt x="6331" y="445226"/>
                  </a:lnTo>
                  <a:lnTo>
                    <a:pt x="0" y="399920"/>
                  </a:lnTo>
                  <a:lnTo>
                    <a:pt x="633" y="351883"/>
                  </a:lnTo>
                  <a:lnTo>
                    <a:pt x="23899" y="323275"/>
                  </a:lnTo>
                  <a:lnTo>
                    <a:pt x="25166" y="284419"/>
                  </a:lnTo>
                  <a:lnTo>
                    <a:pt x="25166" y="228825"/>
                  </a:lnTo>
                  <a:lnTo>
                    <a:pt x="26274" y="187832"/>
                  </a:lnTo>
                  <a:lnTo>
                    <a:pt x="31338" y="166228"/>
                  </a:lnTo>
                  <a:lnTo>
                    <a:pt x="35295" y="124127"/>
                  </a:lnTo>
                  <a:lnTo>
                    <a:pt x="33079" y="67464"/>
                  </a:lnTo>
                  <a:lnTo>
                    <a:pt x="44475" y="72331"/>
                  </a:lnTo>
                  <a:lnTo>
                    <a:pt x="72964" y="110080"/>
                  </a:lnTo>
                  <a:lnTo>
                    <a:pt x="170778" y="111702"/>
                  </a:lnTo>
                  <a:lnTo>
                    <a:pt x="175843" y="99317"/>
                  </a:lnTo>
                  <a:lnTo>
                    <a:pt x="179325" y="78267"/>
                  </a:lnTo>
                  <a:lnTo>
                    <a:pt x="181541" y="50727"/>
                  </a:lnTo>
                  <a:lnTo>
                    <a:pt x="181541" y="25917"/>
                  </a:lnTo>
                  <a:lnTo>
                    <a:pt x="179958" y="12425"/>
                  </a:lnTo>
                  <a:lnTo>
                    <a:pt x="181541" y="0"/>
                  </a:lnTo>
                  <a:lnTo>
                    <a:pt x="231714" y="4353"/>
                  </a:lnTo>
                  <a:lnTo>
                    <a:pt x="270333" y="10802"/>
                  </a:lnTo>
                  <a:lnTo>
                    <a:pt x="292016" y="11910"/>
                  </a:lnTo>
                  <a:lnTo>
                    <a:pt x="339815" y="6489"/>
                  </a:lnTo>
                  <a:lnTo>
                    <a:pt x="366563" y="2176"/>
                  </a:lnTo>
                  <a:lnTo>
                    <a:pt x="409139" y="181897"/>
                  </a:lnTo>
                  <a:lnTo>
                    <a:pt x="425758" y="232070"/>
                  </a:lnTo>
                  <a:lnTo>
                    <a:pt x="485427" y="222336"/>
                  </a:lnTo>
                  <a:lnTo>
                    <a:pt x="513917" y="214778"/>
                  </a:lnTo>
                  <a:lnTo>
                    <a:pt x="540032" y="202393"/>
                  </a:lnTo>
                  <a:lnTo>
                    <a:pt x="541298" y="275239"/>
                  </a:lnTo>
                  <a:lnTo>
                    <a:pt x="546363" y="325412"/>
                  </a:lnTo>
                  <a:lnTo>
                    <a:pt x="549212" y="402610"/>
                  </a:lnTo>
                  <a:lnTo>
                    <a:pt x="556651" y="407477"/>
                  </a:lnTo>
                  <a:lnTo>
                    <a:pt x="565039" y="469006"/>
                  </a:lnTo>
                  <a:lnTo>
                    <a:pt x="521356" y="466316"/>
                  </a:lnTo>
                  <a:lnTo>
                    <a:pt x="496823" y="458204"/>
                  </a:lnTo>
                  <a:lnTo>
                    <a:pt x="463269" y="462517"/>
                  </a:lnTo>
                  <a:lnTo>
                    <a:pt x="462636" y="488435"/>
                  </a:lnTo>
                  <a:lnTo>
                    <a:pt x="463902" y="528913"/>
                  </a:lnTo>
                  <a:lnTo>
                    <a:pt x="419427" y="529428"/>
                  </a:lnTo>
                  <a:lnTo>
                    <a:pt x="418952" y="535956"/>
                  </a:lnTo>
                  <a:lnTo>
                    <a:pt x="410880" y="536985"/>
                  </a:lnTo>
                  <a:lnTo>
                    <a:pt x="393312" y="533780"/>
                  </a:lnTo>
                  <a:lnTo>
                    <a:pt x="373369" y="531881"/>
                  </a:lnTo>
                  <a:lnTo>
                    <a:pt x="371153" y="532949"/>
                  </a:lnTo>
                  <a:lnTo>
                    <a:pt x="357383" y="528399"/>
                  </a:lnTo>
                  <a:lnTo>
                    <a:pt x="308477" y="508417"/>
                  </a:lnTo>
                  <a:lnTo>
                    <a:pt x="301671" y="500859"/>
                  </a:lnTo>
                  <a:lnTo>
                    <a:pt x="270333" y="481431"/>
                  </a:lnTo>
                  <a:lnTo>
                    <a:pt x="224275" y="483568"/>
                  </a:lnTo>
                  <a:lnTo>
                    <a:pt x="195785" y="490057"/>
                  </a:lnTo>
                  <a:lnTo>
                    <a:pt x="217469" y="602827"/>
                  </a:lnTo>
                  <a:lnTo>
                    <a:pt x="183282" y="604687"/>
                  </a:lnTo>
                  <a:lnTo>
                    <a:pt x="177109" y="605004"/>
                  </a:lnTo>
                  <a:lnTo>
                    <a:pt x="162389" y="607694"/>
                  </a:lnTo>
                  <a:lnTo>
                    <a:pt x="138965" y="612007"/>
                  </a:lnTo>
                  <a:lnTo>
                    <a:pt x="129310" y="585061"/>
                  </a:lnTo>
                  <a:lnTo>
                    <a:pt x="123612" y="546719"/>
                  </a:lnTo>
                  <a:lnTo>
                    <a:pt x="54130" y="559144"/>
                  </a:lnTo>
                  <a:lnTo>
                    <a:pt x="38144" y="562626"/>
                  </a:lnTo>
                </a:path>
              </a:pathLst>
            </a:custGeom>
            <a:solidFill>
              <a:srgbClr val="FFFFFF"/>
            </a:solidFill>
            <a:ln w="5132" cap="flat">
              <a:solidFill>
                <a:srgbClr val="030000"/>
              </a:solidFill>
              <a:prstDash val="solid"/>
              <a:miter/>
            </a:ln>
          </xdr:spPr>
          <xdr:txBody>
            <a:bodyPr rtlCol="0" anchor="ctr"/>
            <a:lstStyle/>
            <a:p>
              <a:endParaRPr lang="en-US"/>
            </a:p>
          </xdr:txBody>
        </xdr:sp>
        <xdr:sp macro="" textlink="">
          <xdr:nvSpPr>
            <xdr:cNvPr id="100" name="35_1">
              <a:extLst>
                <a:ext uri="{FF2B5EF4-FFF2-40B4-BE49-F238E27FC236}">
                  <a16:creationId xmlns:a16="http://schemas.microsoft.com/office/drawing/2014/main" id="{CEBB0480-DD54-884E-B78F-52C1F328DBC1}"/>
                </a:ext>
              </a:extLst>
            </xdr:cNvPr>
            <xdr:cNvSpPr/>
          </xdr:nvSpPr>
          <xdr:spPr>
            <a:xfrm>
              <a:off x="5093976" y="5082746"/>
              <a:ext cx="457200" cy="767292"/>
            </a:xfrm>
            <a:custGeom>
              <a:avLst/>
              <a:gdLst>
                <a:gd name="connsiteX0" fmla="*/ 119972 w 457200"/>
                <a:gd name="connsiteY0" fmla="*/ 721019 h 733425"/>
                <a:gd name="connsiteX1" fmla="*/ 119972 w 457200"/>
                <a:gd name="connsiteY1" fmla="*/ 721019 h 733425"/>
                <a:gd name="connsiteX2" fmla="*/ 114907 w 457200"/>
                <a:gd name="connsiteY2" fmla="*/ 710731 h 733425"/>
                <a:gd name="connsiteX3" fmla="*/ 108101 w 457200"/>
                <a:gd name="connsiteY3" fmla="*/ 686436 h 733425"/>
                <a:gd name="connsiteX4" fmla="*/ 102878 w 457200"/>
                <a:gd name="connsiteY4" fmla="*/ 658382 h 733425"/>
                <a:gd name="connsiteX5" fmla="*/ 101770 w 457200"/>
                <a:gd name="connsiteY5" fmla="*/ 623838 h 733425"/>
                <a:gd name="connsiteX6" fmla="*/ 89900 w 457200"/>
                <a:gd name="connsiteY6" fmla="*/ 622216 h 733425"/>
                <a:gd name="connsiteX7" fmla="*/ 90375 w 457200"/>
                <a:gd name="connsiteY7" fmla="*/ 600651 h 733425"/>
                <a:gd name="connsiteX8" fmla="*/ 96073 w 457200"/>
                <a:gd name="connsiteY8" fmla="*/ 574180 h 733425"/>
                <a:gd name="connsiteX9" fmla="*/ 98447 w 457200"/>
                <a:gd name="connsiteY9" fmla="*/ 548302 h 733425"/>
                <a:gd name="connsiteX10" fmla="*/ 94965 w 457200"/>
                <a:gd name="connsiteY10" fmla="*/ 539122 h 733425"/>
                <a:gd name="connsiteX11" fmla="*/ 93224 w 457200"/>
                <a:gd name="connsiteY11" fmla="*/ 478661 h 733425"/>
                <a:gd name="connsiteX12" fmla="*/ 99555 w 457200"/>
                <a:gd name="connsiteY12" fmla="*/ 452229 h 733425"/>
                <a:gd name="connsiteX13" fmla="*/ 106360 w 457200"/>
                <a:gd name="connsiteY13" fmla="*/ 404747 h 733425"/>
                <a:gd name="connsiteX14" fmla="*/ 123296 w 457200"/>
                <a:gd name="connsiteY14" fmla="*/ 376060 h 733425"/>
                <a:gd name="connsiteX15" fmla="*/ 133742 w 457200"/>
                <a:gd name="connsiteY15" fmla="*/ 358333 h 733425"/>
                <a:gd name="connsiteX16" fmla="*/ 115540 w 457200"/>
                <a:gd name="connsiteY16" fmla="*/ 365851 h 733425"/>
                <a:gd name="connsiteX17" fmla="*/ 93224 w 457200"/>
                <a:gd name="connsiteY17" fmla="*/ 368027 h 733425"/>
                <a:gd name="connsiteX18" fmla="*/ 77871 w 457200"/>
                <a:gd name="connsiteY18" fmla="*/ 339973 h 733425"/>
                <a:gd name="connsiteX19" fmla="*/ 66950 w 457200"/>
                <a:gd name="connsiteY19" fmla="*/ 310772 h 733425"/>
                <a:gd name="connsiteX20" fmla="*/ 62044 w 457200"/>
                <a:gd name="connsiteY20" fmla="*/ 297358 h 733425"/>
                <a:gd name="connsiteX21" fmla="*/ 57454 w 457200"/>
                <a:gd name="connsiteY21" fmla="*/ 280066 h 733425"/>
                <a:gd name="connsiteX22" fmla="*/ 56346 w 457200"/>
                <a:gd name="connsiteY22" fmla="*/ 273577 h 733425"/>
                <a:gd name="connsiteX23" fmla="*/ 55713 w 457200"/>
                <a:gd name="connsiteY23" fmla="*/ 250944 h 733425"/>
                <a:gd name="connsiteX24" fmla="*/ 42576 w 457200"/>
                <a:gd name="connsiteY24" fmla="*/ 242832 h 733425"/>
                <a:gd name="connsiteX25" fmla="*/ 25640 w 457200"/>
                <a:gd name="connsiteY25" fmla="*/ 233652 h 733425"/>
                <a:gd name="connsiteX26" fmla="*/ 28331 w 457200"/>
                <a:gd name="connsiteY26" fmla="*/ 222890 h 733425"/>
                <a:gd name="connsiteX27" fmla="*/ 0 w 457200"/>
                <a:gd name="connsiteY27" fmla="*/ 208803 h 733425"/>
                <a:gd name="connsiteX28" fmla="*/ 1108 w 457200"/>
                <a:gd name="connsiteY28" fmla="*/ 179127 h 733425"/>
                <a:gd name="connsiteX29" fmla="*/ 10763 w 457200"/>
                <a:gd name="connsiteY29" fmla="*/ 152695 h 733425"/>
                <a:gd name="connsiteX30" fmla="*/ 11396 w 457200"/>
                <a:gd name="connsiteY30" fmla="*/ 109526 h 733425"/>
                <a:gd name="connsiteX31" fmla="*/ 20417 w 457200"/>
                <a:gd name="connsiteY31" fmla="*/ 106835 h 733425"/>
                <a:gd name="connsiteX32" fmla="*/ 30705 w 457200"/>
                <a:gd name="connsiteY32" fmla="*/ 91720 h 733425"/>
                <a:gd name="connsiteX33" fmla="*/ 47799 w 457200"/>
                <a:gd name="connsiteY33" fmla="*/ 73914 h 733425"/>
                <a:gd name="connsiteX34" fmla="*/ 55713 w 457200"/>
                <a:gd name="connsiteY34" fmla="*/ 68493 h 733425"/>
                <a:gd name="connsiteX35" fmla="*/ 61410 w 457200"/>
                <a:gd name="connsiteY35" fmla="*/ 53932 h 733425"/>
                <a:gd name="connsiteX36" fmla="*/ 69957 w 457200"/>
                <a:gd name="connsiteY36" fmla="*/ 46928 h 733425"/>
                <a:gd name="connsiteX37" fmla="*/ 80245 w 457200"/>
                <a:gd name="connsiteY37" fmla="*/ 45306 h 733425"/>
                <a:gd name="connsiteX38" fmla="*/ 85943 w 457200"/>
                <a:gd name="connsiteY38" fmla="*/ 34504 h 733425"/>
                <a:gd name="connsiteX39" fmla="*/ 98447 w 457200"/>
                <a:gd name="connsiteY39" fmla="*/ 26946 h 733425"/>
                <a:gd name="connsiteX40" fmla="*/ 109209 w 457200"/>
                <a:gd name="connsiteY40" fmla="*/ 22079 h 733425"/>
                <a:gd name="connsiteX41" fmla="*/ 119497 w 457200"/>
                <a:gd name="connsiteY41" fmla="*/ 14522 h 733425"/>
                <a:gd name="connsiteX42" fmla="*/ 129152 w 457200"/>
                <a:gd name="connsiteY42" fmla="*/ 0 h 733425"/>
                <a:gd name="connsiteX43" fmla="*/ 152418 w 457200"/>
                <a:gd name="connsiteY43" fmla="*/ 1068 h 733425"/>
                <a:gd name="connsiteX44" fmla="*/ 157641 w 457200"/>
                <a:gd name="connsiteY44" fmla="*/ 27500 h 733425"/>
                <a:gd name="connsiteX45" fmla="*/ 165555 w 457200"/>
                <a:gd name="connsiteY45" fmla="*/ 47997 h 733425"/>
                <a:gd name="connsiteX46" fmla="*/ 172994 w 457200"/>
                <a:gd name="connsiteY46" fmla="*/ 64220 h 733425"/>
                <a:gd name="connsiteX47" fmla="*/ 180116 w 457200"/>
                <a:gd name="connsiteY47" fmla="*/ 75259 h 733425"/>
                <a:gd name="connsiteX48" fmla="*/ 228706 w 457200"/>
                <a:gd name="connsiteY48" fmla="*/ 75536 h 733425"/>
                <a:gd name="connsiteX49" fmla="*/ 306103 w 457200"/>
                <a:gd name="connsiteY49" fmla="*/ 76051 h 733425"/>
                <a:gd name="connsiteX50" fmla="*/ 365297 w 457200"/>
                <a:gd name="connsiteY50" fmla="*/ 79849 h 733425"/>
                <a:gd name="connsiteX51" fmla="*/ 461528 w 457200"/>
                <a:gd name="connsiteY51" fmla="*/ 81472 h 733425"/>
                <a:gd name="connsiteX52" fmla="*/ 458046 w 457200"/>
                <a:gd name="connsiteY52" fmla="*/ 140825 h 733425"/>
                <a:gd name="connsiteX53" fmla="*/ 455197 w 457200"/>
                <a:gd name="connsiteY53" fmla="*/ 226095 h 733425"/>
                <a:gd name="connsiteX54" fmla="*/ 457413 w 457200"/>
                <a:gd name="connsiteY54" fmla="*/ 282757 h 733425"/>
                <a:gd name="connsiteX55" fmla="*/ 453456 w 457200"/>
                <a:gd name="connsiteY55" fmla="*/ 324858 h 733425"/>
                <a:gd name="connsiteX56" fmla="*/ 448391 w 457200"/>
                <a:gd name="connsiteY56" fmla="*/ 346462 h 733425"/>
                <a:gd name="connsiteX57" fmla="*/ 447283 w 457200"/>
                <a:gd name="connsiteY57" fmla="*/ 387456 h 733425"/>
                <a:gd name="connsiteX58" fmla="*/ 447283 w 457200"/>
                <a:gd name="connsiteY58" fmla="*/ 443049 h 733425"/>
                <a:gd name="connsiteX59" fmla="*/ 446017 w 457200"/>
                <a:gd name="connsiteY59" fmla="*/ 481906 h 733425"/>
                <a:gd name="connsiteX60" fmla="*/ 422751 w 457200"/>
                <a:gd name="connsiteY60" fmla="*/ 510514 h 733425"/>
                <a:gd name="connsiteX61" fmla="*/ 422118 w 457200"/>
                <a:gd name="connsiteY61" fmla="*/ 558550 h 733425"/>
                <a:gd name="connsiteX62" fmla="*/ 428449 w 457200"/>
                <a:gd name="connsiteY62" fmla="*/ 603856 h 733425"/>
                <a:gd name="connsiteX63" fmla="*/ 444434 w 457200"/>
                <a:gd name="connsiteY63" fmla="*/ 657313 h 733425"/>
                <a:gd name="connsiteX64" fmla="*/ 460262 w 457200"/>
                <a:gd name="connsiteY64" fmla="*/ 721256 h 733425"/>
                <a:gd name="connsiteX65" fmla="*/ 346146 w 457200"/>
                <a:gd name="connsiteY65" fmla="*/ 732058 h 733425"/>
                <a:gd name="connsiteX66" fmla="*/ 330318 w 457200"/>
                <a:gd name="connsiteY66" fmla="*/ 720465 h 733425"/>
                <a:gd name="connsiteX67" fmla="*/ 310059 w 457200"/>
                <a:gd name="connsiteY67" fmla="*/ 722641 h 733425"/>
                <a:gd name="connsiteX68" fmla="*/ 298664 w 457200"/>
                <a:gd name="connsiteY68" fmla="*/ 736134 h 733425"/>
                <a:gd name="connsiteX69" fmla="*/ 265743 w 457200"/>
                <a:gd name="connsiteY69" fmla="*/ 733958 h 733425"/>
                <a:gd name="connsiteX70" fmla="*/ 257196 w 457200"/>
                <a:gd name="connsiteY70" fmla="*/ 720465 h 733425"/>
                <a:gd name="connsiteX71" fmla="*/ 248016 w 457200"/>
                <a:gd name="connsiteY71" fmla="*/ 720465 h 733425"/>
                <a:gd name="connsiteX72" fmla="*/ 238361 w 457200"/>
                <a:gd name="connsiteY72" fmla="*/ 723155 h 733425"/>
                <a:gd name="connsiteX73" fmla="*/ 202591 w 457200"/>
                <a:gd name="connsiteY73" fmla="*/ 715083 h 733425"/>
                <a:gd name="connsiteX74" fmla="*/ 185972 w 457200"/>
                <a:gd name="connsiteY74" fmla="*/ 712907 h 733425"/>
                <a:gd name="connsiteX75" fmla="*/ 158116 w 457200"/>
                <a:gd name="connsiteY75" fmla="*/ 714529 h 733425"/>
                <a:gd name="connsiteX76" fmla="*/ 137066 w 457200"/>
                <a:gd name="connsiteY76" fmla="*/ 716706 h 733425"/>
                <a:gd name="connsiteX77" fmla="*/ 119972 w 457200"/>
                <a:gd name="connsiteY77" fmla="*/ 721019 h 7334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Lst>
              <a:rect l="l" t="t" r="r" b="b"/>
              <a:pathLst>
                <a:path w="457200" h="733425">
                  <a:moveTo>
                    <a:pt x="119972" y="721019"/>
                  </a:moveTo>
                  <a:lnTo>
                    <a:pt x="119972" y="721019"/>
                  </a:lnTo>
                  <a:lnTo>
                    <a:pt x="114907" y="710731"/>
                  </a:lnTo>
                  <a:lnTo>
                    <a:pt x="108101" y="686436"/>
                  </a:lnTo>
                  <a:lnTo>
                    <a:pt x="102878" y="658382"/>
                  </a:lnTo>
                  <a:lnTo>
                    <a:pt x="101770" y="623838"/>
                  </a:lnTo>
                  <a:lnTo>
                    <a:pt x="89900" y="622216"/>
                  </a:lnTo>
                  <a:lnTo>
                    <a:pt x="90375" y="600651"/>
                  </a:lnTo>
                  <a:lnTo>
                    <a:pt x="96073" y="574180"/>
                  </a:lnTo>
                  <a:lnTo>
                    <a:pt x="98447" y="548302"/>
                  </a:lnTo>
                  <a:lnTo>
                    <a:pt x="94965" y="539122"/>
                  </a:lnTo>
                  <a:lnTo>
                    <a:pt x="93224" y="478661"/>
                  </a:lnTo>
                  <a:lnTo>
                    <a:pt x="99555" y="452229"/>
                  </a:lnTo>
                  <a:lnTo>
                    <a:pt x="106360" y="404747"/>
                  </a:lnTo>
                  <a:lnTo>
                    <a:pt x="123296" y="376060"/>
                  </a:lnTo>
                  <a:lnTo>
                    <a:pt x="133742" y="358333"/>
                  </a:lnTo>
                  <a:lnTo>
                    <a:pt x="115540" y="365851"/>
                  </a:lnTo>
                  <a:lnTo>
                    <a:pt x="93224" y="368027"/>
                  </a:lnTo>
                  <a:lnTo>
                    <a:pt x="77871" y="339973"/>
                  </a:lnTo>
                  <a:lnTo>
                    <a:pt x="66950" y="310772"/>
                  </a:lnTo>
                  <a:lnTo>
                    <a:pt x="62044" y="297358"/>
                  </a:lnTo>
                  <a:lnTo>
                    <a:pt x="57454" y="280066"/>
                  </a:lnTo>
                  <a:lnTo>
                    <a:pt x="56346" y="273577"/>
                  </a:lnTo>
                  <a:lnTo>
                    <a:pt x="55713" y="250944"/>
                  </a:lnTo>
                  <a:lnTo>
                    <a:pt x="42576" y="242832"/>
                  </a:lnTo>
                  <a:lnTo>
                    <a:pt x="25640" y="233652"/>
                  </a:lnTo>
                  <a:lnTo>
                    <a:pt x="28331" y="222890"/>
                  </a:lnTo>
                  <a:lnTo>
                    <a:pt x="0" y="208803"/>
                  </a:lnTo>
                  <a:lnTo>
                    <a:pt x="1108" y="179127"/>
                  </a:lnTo>
                  <a:lnTo>
                    <a:pt x="10763" y="152695"/>
                  </a:lnTo>
                  <a:lnTo>
                    <a:pt x="11396" y="109526"/>
                  </a:lnTo>
                  <a:lnTo>
                    <a:pt x="20417" y="106835"/>
                  </a:lnTo>
                  <a:lnTo>
                    <a:pt x="30705" y="91720"/>
                  </a:lnTo>
                  <a:lnTo>
                    <a:pt x="47799" y="73914"/>
                  </a:lnTo>
                  <a:lnTo>
                    <a:pt x="55713" y="68493"/>
                  </a:lnTo>
                  <a:lnTo>
                    <a:pt x="61410" y="53932"/>
                  </a:lnTo>
                  <a:lnTo>
                    <a:pt x="69957" y="46928"/>
                  </a:lnTo>
                  <a:lnTo>
                    <a:pt x="80245" y="45306"/>
                  </a:lnTo>
                  <a:lnTo>
                    <a:pt x="85943" y="34504"/>
                  </a:lnTo>
                  <a:lnTo>
                    <a:pt x="98447" y="26946"/>
                  </a:lnTo>
                  <a:lnTo>
                    <a:pt x="109209" y="22079"/>
                  </a:lnTo>
                  <a:lnTo>
                    <a:pt x="119497" y="14522"/>
                  </a:lnTo>
                  <a:lnTo>
                    <a:pt x="129152" y="0"/>
                  </a:lnTo>
                  <a:lnTo>
                    <a:pt x="152418" y="1068"/>
                  </a:lnTo>
                  <a:lnTo>
                    <a:pt x="157641" y="27500"/>
                  </a:lnTo>
                  <a:lnTo>
                    <a:pt x="165555" y="47997"/>
                  </a:lnTo>
                  <a:lnTo>
                    <a:pt x="172994" y="64220"/>
                  </a:lnTo>
                  <a:lnTo>
                    <a:pt x="180116" y="75259"/>
                  </a:lnTo>
                  <a:lnTo>
                    <a:pt x="228706" y="75536"/>
                  </a:lnTo>
                  <a:lnTo>
                    <a:pt x="306103" y="76051"/>
                  </a:lnTo>
                  <a:lnTo>
                    <a:pt x="365297" y="79849"/>
                  </a:lnTo>
                  <a:lnTo>
                    <a:pt x="461528" y="81472"/>
                  </a:lnTo>
                  <a:lnTo>
                    <a:pt x="458046" y="140825"/>
                  </a:lnTo>
                  <a:lnTo>
                    <a:pt x="455197" y="226095"/>
                  </a:lnTo>
                  <a:lnTo>
                    <a:pt x="457413" y="282757"/>
                  </a:lnTo>
                  <a:lnTo>
                    <a:pt x="453456" y="324858"/>
                  </a:lnTo>
                  <a:lnTo>
                    <a:pt x="448391" y="346462"/>
                  </a:lnTo>
                  <a:lnTo>
                    <a:pt x="447283" y="387456"/>
                  </a:lnTo>
                  <a:lnTo>
                    <a:pt x="447283" y="443049"/>
                  </a:lnTo>
                  <a:lnTo>
                    <a:pt x="446017" y="481906"/>
                  </a:lnTo>
                  <a:lnTo>
                    <a:pt x="422751" y="510514"/>
                  </a:lnTo>
                  <a:lnTo>
                    <a:pt x="422118" y="558550"/>
                  </a:lnTo>
                  <a:lnTo>
                    <a:pt x="428449" y="603856"/>
                  </a:lnTo>
                  <a:lnTo>
                    <a:pt x="444434" y="657313"/>
                  </a:lnTo>
                  <a:lnTo>
                    <a:pt x="460262" y="721256"/>
                  </a:lnTo>
                  <a:lnTo>
                    <a:pt x="346146" y="732058"/>
                  </a:lnTo>
                  <a:lnTo>
                    <a:pt x="330318" y="720465"/>
                  </a:lnTo>
                  <a:lnTo>
                    <a:pt x="310059" y="722641"/>
                  </a:lnTo>
                  <a:lnTo>
                    <a:pt x="298664" y="736134"/>
                  </a:lnTo>
                  <a:lnTo>
                    <a:pt x="265743" y="733958"/>
                  </a:lnTo>
                  <a:lnTo>
                    <a:pt x="257196" y="720465"/>
                  </a:lnTo>
                  <a:lnTo>
                    <a:pt x="248016" y="720465"/>
                  </a:lnTo>
                  <a:lnTo>
                    <a:pt x="238361" y="723155"/>
                  </a:lnTo>
                  <a:lnTo>
                    <a:pt x="202591" y="715083"/>
                  </a:lnTo>
                  <a:lnTo>
                    <a:pt x="185972" y="712907"/>
                  </a:lnTo>
                  <a:lnTo>
                    <a:pt x="158116" y="714529"/>
                  </a:lnTo>
                  <a:lnTo>
                    <a:pt x="137066" y="716706"/>
                  </a:lnTo>
                  <a:lnTo>
                    <a:pt x="119972" y="721019"/>
                  </a:lnTo>
                </a:path>
              </a:pathLst>
            </a:custGeom>
            <a:solidFill>
              <a:srgbClr val="FFFFFF"/>
            </a:solidFill>
            <a:ln w="5132" cap="flat">
              <a:solidFill>
                <a:srgbClr val="030000"/>
              </a:solidFill>
              <a:prstDash val="solid"/>
              <a:miter/>
            </a:ln>
          </xdr:spPr>
          <xdr:txBody>
            <a:bodyPr rtlCol="0" anchor="ctr"/>
            <a:lstStyle/>
            <a:p>
              <a:endParaRPr lang="en-US"/>
            </a:p>
          </xdr:txBody>
        </xdr:sp>
        <xdr:sp macro="" textlink="">
          <xdr:nvSpPr>
            <xdr:cNvPr id="101" name="34_1">
              <a:extLst>
                <a:ext uri="{FF2B5EF4-FFF2-40B4-BE49-F238E27FC236}">
                  <a16:creationId xmlns:a16="http://schemas.microsoft.com/office/drawing/2014/main" id="{5ACCF682-9010-8B4F-842B-AAB9FF32AB19}"/>
                </a:ext>
              </a:extLst>
            </xdr:cNvPr>
            <xdr:cNvSpPr/>
          </xdr:nvSpPr>
          <xdr:spPr>
            <a:xfrm>
              <a:off x="4222478" y="5278452"/>
              <a:ext cx="1005416" cy="710141"/>
            </a:xfrm>
            <a:custGeom>
              <a:avLst/>
              <a:gdLst>
                <a:gd name="connsiteX0" fmla="*/ 314016 w 1009650"/>
                <a:gd name="connsiteY0" fmla="*/ 162983 h 676275"/>
                <a:gd name="connsiteX1" fmla="*/ 314016 w 1009650"/>
                <a:gd name="connsiteY1" fmla="*/ 162983 h 676275"/>
                <a:gd name="connsiteX2" fmla="*/ 329369 w 1009650"/>
                <a:gd name="connsiteY2" fmla="*/ 155979 h 676275"/>
                <a:gd name="connsiteX3" fmla="*/ 369254 w 1009650"/>
                <a:gd name="connsiteY3" fmla="*/ 151666 h 676275"/>
                <a:gd name="connsiteX4" fmla="*/ 419269 w 1009650"/>
                <a:gd name="connsiteY4" fmla="*/ 154911 h 676275"/>
                <a:gd name="connsiteX5" fmla="*/ 453456 w 1009650"/>
                <a:gd name="connsiteY5" fmla="*/ 147868 h 676275"/>
                <a:gd name="connsiteX6" fmla="*/ 490492 w 1009650"/>
                <a:gd name="connsiteY6" fmla="*/ 113878 h 676275"/>
                <a:gd name="connsiteX7" fmla="*/ 543989 w 1009650"/>
                <a:gd name="connsiteY7" fmla="*/ 0 h 676275"/>
                <a:gd name="connsiteX8" fmla="*/ 582608 w 1009650"/>
                <a:gd name="connsiteY8" fmla="*/ 18914 h 676275"/>
                <a:gd name="connsiteX9" fmla="*/ 616795 w 1009650"/>
                <a:gd name="connsiteY9" fmla="*/ 35651 h 676275"/>
                <a:gd name="connsiteX10" fmla="*/ 633256 w 1009650"/>
                <a:gd name="connsiteY10" fmla="*/ 46968 h 676275"/>
                <a:gd name="connsiteX11" fmla="*/ 641328 w 1009650"/>
                <a:gd name="connsiteY11" fmla="*/ 46968 h 676275"/>
                <a:gd name="connsiteX12" fmla="*/ 663486 w 1009650"/>
                <a:gd name="connsiteY12" fmla="*/ 34543 h 676275"/>
                <a:gd name="connsiteX13" fmla="*/ 683903 w 1009650"/>
                <a:gd name="connsiteY13" fmla="*/ 25363 h 676275"/>
                <a:gd name="connsiteX14" fmla="*/ 700364 w 1009650"/>
                <a:gd name="connsiteY14" fmla="*/ 23741 h 676275"/>
                <a:gd name="connsiteX15" fmla="*/ 710652 w 1009650"/>
                <a:gd name="connsiteY15" fmla="*/ 17806 h 676275"/>
                <a:gd name="connsiteX16" fmla="*/ 736292 w 1009650"/>
                <a:gd name="connsiteY16" fmla="*/ 16738 h 676275"/>
                <a:gd name="connsiteX17" fmla="*/ 751012 w 1009650"/>
                <a:gd name="connsiteY17" fmla="*/ 10802 h 676275"/>
                <a:gd name="connsiteX18" fmla="*/ 770479 w 1009650"/>
                <a:gd name="connsiteY18" fmla="*/ 6489 h 676275"/>
                <a:gd name="connsiteX19" fmla="*/ 812580 w 1009650"/>
                <a:gd name="connsiteY19" fmla="*/ 24809 h 676275"/>
                <a:gd name="connsiteX20" fmla="*/ 817645 w 1009650"/>
                <a:gd name="connsiteY20" fmla="*/ 21565 h 676275"/>
                <a:gd name="connsiteX21" fmla="*/ 836480 w 1009650"/>
                <a:gd name="connsiteY21" fmla="*/ 21565 h 676275"/>
                <a:gd name="connsiteX22" fmla="*/ 848350 w 1009650"/>
                <a:gd name="connsiteY22" fmla="*/ 24295 h 676275"/>
                <a:gd name="connsiteX23" fmla="*/ 875732 w 1009650"/>
                <a:gd name="connsiteY23" fmla="*/ 21565 h 676275"/>
                <a:gd name="connsiteX24" fmla="*/ 904063 w 1009650"/>
                <a:gd name="connsiteY24" fmla="*/ 35651 h 676275"/>
                <a:gd name="connsiteX25" fmla="*/ 901372 w 1009650"/>
                <a:gd name="connsiteY25" fmla="*/ 46414 h 676275"/>
                <a:gd name="connsiteX26" fmla="*/ 918308 w 1009650"/>
                <a:gd name="connsiteY26" fmla="*/ 55594 h 676275"/>
                <a:gd name="connsiteX27" fmla="*/ 931444 w 1009650"/>
                <a:gd name="connsiteY27" fmla="*/ 63705 h 676275"/>
                <a:gd name="connsiteX28" fmla="*/ 932077 w 1009650"/>
                <a:gd name="connsiteY28" fmla="*/ 86339 h 676275"/>
                <a:gd name="connsiteX29" fmla="*/ 933185 w 1009650"/>
                <a:gd name="connsiteY29" fmla="*/ 92828 h 676275"/>
                <a:gd name="connsiteX30" fmla="*/ 937775 w 1009650"/>
                <a:gd name="connsiteY30" fmla="*/ 110119 h 676275"/>
                <a:gd name="connsiteX31" fmla="*/ 942682 w 1009650"/>
                <a:gd name="connsiteY31" fmla="*/ 123533 h 676275"/>
                <a:gd name="connsiteX32" fmla="*/ 953603 w 1009650"/>
                <a:gd name="connsiteY32" fmla="*/ 152735 h 676275"/>
                <a:gd name="connsiteX33" fmla="*/ 968955 w 1009650"/>
                <a:gd name="connsiteY33" fmla="*/ 180789 h 676275"/>
                <a:gd name="connsiteX34" fmla="*/ 991272 w 1009650"/>
                <a:gd name="connsiteY34" fmla="*/ 178613 h 676275"/>
                <a:gd name="connsiteX35" fmla="*/ 1009474 w 1009650"/>
                <a:gd name="connsiteY35" fmla="*/ 171095 h 676275"/>
                <a:gd name="connsiteX36" fmla="*/ 999027 w 1009650"/>
                <a:gd name="connsiteY36" fmla="*/ 188821 h 676275"/>
                <a:gd name="connsiteX37" fmla="*/ 982092 w 1009650"/>
                <a:gd name="connsiteY37" fmla="*/ 217508 h 676275"/>
                <a:gd name="connsiteX38" fmla="*/ 975286 w 1009650"/>
                <a:gd name="connsiteY38" fmla="*/ 264991 h 676275"/>
                <a:gd name="connsiteX39" fmla="*/ 968955 w 1009650"/>
                <a:gd name="connsiteY39" fmla="*/ 291423 h 676275"/>
                <a:gd name="connsiteX40" fmla="*/ 970696 w 1009650"/>
                <a:gd name="connsiteY40" fmla="*/ 351883 h 676275"/>
                <a:gd name="connsiteX41" fmla="*/ 974178 w 1009650"/>
                <a:gd name="connsiteY41" fmla="*/ 361063 h 676275"/>
                <a:gd name="connsiteX42" fmla="*/ 971804 w 1009650"/>
                <a:gd name="connsiteY42" fmla="*/ 386941 h 676275"/>
                <a:gd name="connsiteX43" fmla="*/ 966106 w 1009650"/>
                <a:gd name="connsiteY43" fmla="*/ 413412 h 676275"/>
                <a:gd name="connsiteX44" fmla="*/ 965632 w 1009650"/>
                <a:gd name="connsiteY44" fmla="*/ 434977 h 676275"/>
                <a:gd name="connsiteX45" fmla="*/ 977502 w 1009650"/>
                <a:gd name="connsiteY45" fmla="*/ 436600 h 676275"/>
                <a:gd name="connsiteX46" fmla="*/ 978610 w 1009650"/>
                <a:gd name="connsiteY46" fmla="*/ 471143 h 676275"/>
                <a:gd name="connsiteX47" fmla="*/ 983833 w 1009650"/>
                <a:gd name="connsiteY47" fmla="*/ 499197 h 676275"/>
                <a:gd name="connsiteX48" fmla="*/ 990639 w 1009650"/>
                <a:gd name="connsiteY48" fmla="*/ 523492 h 676275"/>
                <a:gd name="connsiteX49" fmla="*/ 995704 w 1009650"/>
                <a:gd name="connsiteY49" fmla="*/ 533780 h 676275"/>
                <a:gd name="connsiteX50" fmla="*/ 1000927 w 1009650"/>
                <a:gd name="connsiteY50" fmla="*/ 561280 h 676275"/>
                <a:gd name="connsiteX51" fmla="*/ 1014538 w 1009650"/>
                <a:gd name="connsiteY51" fmla="*/ 616874 h 676275"/>
                <a:gd name="connsiteX52" fmla="*/ 1002035 w 1009650"/>
                <a:gd name="connsiteY52" fmla="*/ 620119 h 676275"/>
                <a:gd name="connsiteX53" fmla="*/ 920682 w 1009650"/>
                <a:gd name="connsiteY53" fmla="*/ 628745 h 676275"/>
                <a:gd name="connsiteX54" fmla="*/ 922898 w 1009650"/>
                <a:gd name="connsiteY54" fmla="*/ 647658 h 676275"/>
                <a:gd name="connsiteX55" fmla="*/ 927487 w 1009650"/>
                <a:gd name="connsiteY55" fmla="*/ 674090 h 676275"/>
                <a:gd name="connsiteX56" fmla="*/ 882538 w 1009650"/>
                <a:gd name="connsiteY56" fmla="*/ 677335 h 676275"/>
                <a:gd name="connsiteX57" fmla="*/ 880797 w 1009650"/>
                <a:gd name="connsiteY57" fmla="*/ 680065 h 676275"/>
                <a:gd name="connsiteX58" fmla="*/ 864969 w 1009650"/>
                <a:gd name="connsiteY58" fmla="*/ 677889 h 676275"/>
                <a:gd name="connsiteX59" fmla="*/ 852940 w 1009650"/>
                <a:gd name="connsiteY59" fmla="*/ 662220 h 676275"/>
                <a:gd name="connsiteX60" fmla="*/ 838062 w 1009650"/>
                <a:gd name="connsiteY60" fmla="*/ 631989 h 676275"/>
                <a:gd name="connsiteX61" fmla="*/ 804033 w 1009650"/>
                <a:gd name="connsiteY61" fmla="*/ 632543 h 676275"/>
                <a:gd name="connsiteX62" fmla="*/ 788681 w 1009650"/>
                <a:gd name="connsiteY62" fmla="*/ 626054 h 676275"/>
                <a:gd name="connsiteX63" fmla="*/ 777127 w 1009650"/>
                <a:gd name="connsiteY63" fmla="*/ 609633 h 676275"/>
                <a:gd name="connsiteX64" fmla="*/ 771904 w 1009650"/>
                <a:gd name="connsiteY64" fmla="*/ 600255 h 676275"/>
                <a:gd name="connsiteX65" fmla="*/ 778868 w 1009650"/>
                <a:gd name="connsiteY65" fmla="*/ 590640 h 676275"/>
                <a:gd name="connsiteX66" fmla="*/ 806408 w 1009650"/>
                <a:gd name="connsiteY66" fmla="*/ 498643 h 676275"/>
                <a:gd name="connsiteX67" fmla="*/ 736609 w 1009650"/>
                <a:gd name="connsiteY67" fmla="*/ 471183 h 676275"/>
                <a:gd name="connsiteX68" fmla="*/ 613155 w 1009650"/>
                <a:gd name="connsiteY68" fmla="*/ 431654 h 676275"/>
                <a:gd name="connsiteX69" fmla="*/ 550320 w 1009650"/>
                <a:gd name="connsiteY69" fmla="*/ 400197 h 676275"/>
                <a:gd name="connsiteX70" fmla="*/ 550478 w 1009650"/>
                <a:gd name="connsiteY70" fmla="*/ 449776 h 676275"/>
                <a:gd name="connsiteX71" fmla="*/ 539874 w 1009650"/>
                <a:gd name="connsiteY71" fmla="*/ 450053 h 676275"/>
                <a:gd name="connsiteX72" fmla="*/ 516766 w 1009650"/>
                <a:gd name="connsiteY72" fmla="*/ 455078 h 676275"/>
                <a:gd name="connsiteX73" fmla="*/ 502046 w 1009650"/>
                <a:gd name="connsiteY73" fmla="*/ 460222 h 676275"/>
                <a:gd name="connsiteX74" fmla="*/ 507744 w 1009650"/>
                <a:gd name="connsiteY74" fmla="*/ 470866 h 676275"/>
                <a:gd name="connsiteX75" fmla="*/ 505370 w 1009650"/>
                <a:gd name="connsiteY75" fmla="*/ 480640 h 676275"/>
                <a:gd name="connsiteX76" fmla="*/ 495082 w 1009650"/>
                <a:gd name="connsiteY76" fmla="*/ 499039 h 676275"/>
                <a:gd name="connsiteX77" fmla="*/ 474190 w 1009650"/>
                <a:gd name="connsiteY77" fmla="*/ 514906 h 676275"/>
                <a:gd name="connsiteX78" fmla="*/ 472132 w 1009650"/>
                <a:gd name="connsiteY78" fmla="*/ 521158 h 676275"/>
                <a:gd name="connsiteX79" fmla="*/ 463585 w 1009650"/>
                <a:gd name="connsiteY79" fmla="*/ 525154 h 676275"/>
                <a:gd name="connsiteX80" fmla="*/ 358966 w 1009650"/>
                <a:gd name="connsiteY80" fmla="*/ 556295 h 676275"/>
                <a:gd name="connsiteX81" fmla="*/ 334275 w 1009650"/>
                <a:gd name="connsiteY81" fmla="*/ 558629 h 676275"/>
                <a:gd name="connsiteX82" fmla="*/ 324621 w 1009650"/>
                <a:gd name="connsiteY82" fmla="*/ 553960 h 676275"/>
                <a:gd name="connsiteX83" fmla="*/ 305153 w 1009650"/>
                <a:gd name="connsiteY83" fmla="*/ 549647 h 676275"/>
                <a:gd name="connsiteX84" fmla="*/ 306103 w 1009650"/>
                <a:gd name="connsiteY84" fmla="*/ 553604 h 676275"/>
                <a:gd name="connsiteX85" fmla="*/ 287110 w 1009650"/>
                <a:gd name="connsiteY85" fmla="*/ 567255 h 676275"/>
                <a:gd name="connsiteX86" fmla="*/ 260520 w 1009650"/>
                <a:gd name="connsiteY86" fmla="*/ 587673 h 676275"/>
                <a:gd name="connsiteX87" fmla="*/ 238836 w 1009650"/>
                <a:gd name="connsiteY87" fmla="*/ 613155 h 676275"/>
                <a:gd name="connsiteX88" fmla="*/ 233771 w 1009650"/>
                <a:gd name="connsiteY88" fmla="*/ 596259 h 676275"/>
                <a:gd name="connsiteX89" fmla="*/ 228232 w 1009650"/>
                <a:gd name="connsiteY89" fmla="*/ 588147 h 676275"/>
                <a:gd name="connsiteX90" fmla="*/ 221109 w 1009650"/>
                <a:gd name="connsiteY90" fmla="*/ 582212 h 676275"/>
                <a:gd name="connsiteX91" fmla="*/ 200850 w 1009650"/>
                <a:gd name="connsiteY91" fmla="*/ 559975 h 676275"/>
                <a:gd name="connsiteX92" fmla="*/ 170461 w 1009650"/>
                <a:gd name="connsiteY92" fmla="*/ 540982 h 676275"/>
                <a:gd name="connsiteX93" fmla="*/ 164289 w 1009650"/>
                <a:gd name="connsiteY93" fmla="*/ 526341 h 676275"/>
                <a:gd name="connsiteX94" fmla="*/ 178375 w 1009650"/>
                <a:gd name="connsiteY94" fmla="*/ 489147 h 676275"/>
                <a:gd name="connsiteX95" fmla="*/ 180274 w 1009650"/>
                <a:gd name="connsiteY95" fmla="*/ 473319 h 676275"/>
                <a:gd name="connsiteX96" fmla="*/ 169195 w 1009650"/>
                <a:gd name="connsiteY96" fmla="*/ 462557 h 676275"/>
                <a:gd name="connsiteX97" fmla="*/ 157008 w 1009650"/>
                <a:gd name="connsiteY97" fmla="*/ 461488 h 676275"/>
                <a:gd name="connsiteX98" fmla="*/ 144663 w 1009650"/>
                <a:gd name="connsiteY98" fmla="*/ 442337 h 676275"/>
                <a:gd name="connsiteX99" fmla="*/ 119339 w 1009650"/>
                <a:gd name="connsiteY99" fmla="*/ 471618 h 676275"/>
                <a:gd name="connsiteX100" fmla="*/ 111742 w 1009650"/>
                <a:gd name="connsiteY100" fmla="*/ 471460 h 676275"/>
                <a:gd name="connsiteX101" fmla="*/ 88475 w 1009650"/>
                <a:gd name="connsiteY101" fmla="*/ 453535 h 676275"/>
                <a:gd name="connsiteX102" fmla="*/ 32921 w 1009650"/>
                <a:gd name="connsiteY102" fmla="*/ 453456 h 676275"/>
                <a:gd name="connsiteX103" fmla="*/ 25166 w 1009650"/>
                <a:gd name="connsiteY103" fmla="*/ 449024 h 676275"/>
                <a:gd name="connsiteX104" fmla="*/ 17094 w 1009650"/>
                <a:gd name="connsiteY104" fmla="*/ 449341 h 676275"/>
                <a:gd name="connsiteX105" fmla="*/ 0 w 1009650"/>
                <a:gd name="connsiteY105" fmla="*/ 444632 h 676275"/>
                <a:gd name="connsiteX106" fmla="*/ 31180 w 1009650"/>
                <a:gd name="connsiteY106" fmla="*/ 418279 h 676275"/>
                <a:gd name="connsiteX107" fmla="*/ 45425 w 1009650"/>
                <a:gd name="connsiteY107" fmla="*/ 397229 h 676275"/>
                <a:gd name="connsiteX108" fmla="*/ 56346 w 1009650"/>
                <a:gd name="connsiteY108" fmla="*/ 367513 h 676275"/>
                <a:gd name="connsiteX109" fmla="*/ 75022 w 1009650"/>
                <a:gd name="connsiteY109" fmla="*/ 322207 h 676275"/>
                <a:gd name="connsiteX110" fmla="*/ 116648 w 1009650"/>
                <a:gd name="connsiteY110" fmla="*/ 256365 h 676275"/>
                <a:gd name="connsiteX111" fmla="*/ 209397 w 1009650"/>
                <a:gd name="connsiteY111" fmla="*/ 211573 h 676275"/>
                <a:gd name="connsiteX112" fmla="*/ 299297 w 1009650"/>
                <a:gd name="connsiteY112" fmla="*/ 168404 h 676275"/>
                <a:gd name="connsiteX113" fmla="*/ 314016 w 1009650"/>
                <a:gd name="connsiteY113" fmla="*/ 162983 h 6762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Lst>
              <a:rect l="l" t="t" r="r" b="b"/>
              <a:pathLst>
                <a:path w="1009650" h="676275">
                  <a:moveTo>
                    <a:pt x="314016" y="162983"/>
                  </a:moveTo>
                  <a:lnTo>
                    <a:pt x="314016" y="162983"/>
                  </a:lnTo>
                  <a:lnTo>
                    <a:pt x="329369" y="155979"/>
                  </a:lnTo>
                  <a:lnTo>
                    <a:pt x="369254" y="151666"/>
                  </a:lnTo>
                  <a:lnTo>
                    <a:pt x="419269" y="154911"/>
                  </a:lnTo>
                  <a:lnTo>
                    <a:pt x="453456" y="147868"/>
                  </a:lnTo>
                  <a:lnTo>
                    <a:pt x="490492" y="113878"/>
                  </a:lnTo>
                  <a:lnTo>
                    <a:pt x="543989" y="0"/>
                  </a:lnTo>
                  <a:lnTo>
                    <a:pt x="582608" y="18914"/>
                  </a:lnTo>
                  <a:lnTo>
                    <a:pt x="616795" y="35651"/>
                  </a:lnTo>
                  <a:lnTo>
                    <a:pt x="633256" y="46968"/>
                  </a:lnTo>
                  <a:lnTo>
                    <a:pt x="641328" y="46968"/>
                  </a:lnTo>
                  <a:lnTo>
                    <a:pt x="663486" y="34543"/>
                  </a:lnTo>
                  <a:lnTo>
                    <a:pt x="683903" y="25363"/>
                  </a:lnTo>
                  <a:lnTo>
                    <a:pt x="700364" y="23741"/>
                  </a:lnTo>
                  <a:lnTo>
                    <a:pt x="710652" y="17806"/>
                  </a:lnTo>
                  <a:lnTo>
                    <a:pt x="736292" y="16738"/>
                  </a:lnTo>
                  <a:lnTo>
                    <a:pt x="751012" y="10802"/>
                  </a:lnTo>
                  <a:lnTo>
                    <a:pt x="770479" y="6489"/>
                  </a:lnTo>
                  <a:lnTo>
                    <a:pt x="812580" y="24809"/>
                  </a:lnTo>
                  <a:lnTo>
                    <a:pt x="817645" y="21565"/>
                  </a:lnTo>
                  <a:lnTo>
                    <a:pt x="836480" y="21565"/>
                  </a:lnTo>
                  <a:lnTo>
                    <a:pt x="848350" y="24295"/>
                  </a:lnTo>
                  <a:lnTo>
                    <a:pt x="875732" y="21565"/>
                  </a:lnTo>
                  <a:lnTo>
                    <a:pt x="904063" y="35651"/>
                  </a:lnTo>
                  <a:lnTo>
                    <a:pt x="901372" y="46414"/>
                  </a:lnTo>
                  <a:lnTo>
                    <a:pt x="918308" y="55594"/>
                  </a:lnTo>
                  <a:lnTo>
                    <a:pt x="931444" y="63705"/>
                  </a:lnTo>
                  <a:lnTo>
                    <a:pt x="932077" y="86339"/>
                  </a:lnTo>
                  <a:lnTo>
                    <a:pt x="933185" y="92828"/>
                  </a:lnTo>
                  <a:lnTo>
                    <a:pt x="937775" y="110119"/>
                  </a:lnTo>
                  <a:lnTo>
                    <a:pt x="942682" y="123533"/>
                  </a:lnTo>
                  <a:lnTo>
                    <a:pt x="953603" y="152735"/>
                  </a:lnTo>
                  <a:lnTo>
                    <a:pt x="968955" y="180789"/>
                  </a:lnTo>
                  <a:lnTo>
                    <a:pt x="991272" y="178613"/>
                  </a:lnTo>
                  <a:lnTo>
                    <a:pt x="1009474" y="171095"/>
                  </a:lnTo>
                  <a:lnTo>
                    <a:pt x="999027" y="188821"/>
                  </a:lnTo>
                  <a:lnTo>
                    <a:pt x="982092" y="217508"/>
                  </a:lnTo>
                  <a:lnTo>
                    <a:pt x="975286" y="264991"/>
                  </a:lnTo>
                  <a:lnTo>
                    <a:pt x="968955" y="291423"/>
                  </a:lnTo>
                  <a:lnTo>
                    <a:pt x="970696" y="351883"/>
                  </a:lnTo>
                  <a:lnTo>
                    <a:pt x="974178" y="361063"/>
                  </a:lnTo>
                  <a:lnTo>
                    <a:pt x="971804" y="386941"/>
                  </a:lnTo>
                  <a:lnTo>
                    <a:pt x="966106" y="413412"/>
                  </a:lnTo>
                  <a:lnTo>
                    <a:pt x="965632" y="434977"/>
                  </a:lnTo>
                  <a:lnTo>
                    <a:pt x="977502" y="436600"/>
                  </a:lnTo>
                  <a:lnTo>
                    <a:pt x="978610" y="471143"/>
                  </a:lnTo>
                  <a:lnTo>
                    <a:pt x="983833" y="499197"/>
                  </a:lnTo>
                  <a:lnTo>
                    <a:pt x="990639" y="523492"/>
                  </a:lnTo>
                  <a:lnTo>
                    <a:pt x="995704" y="533780"/>
                  </a:lnTo>
                  <a:lnTo>
                    <a:pt x="1000927" y="561280"/>
                  </a:lnTo>
                  <a:lnTo>
                    <a:pt x="1014538" y="616874"/>
                  </a:lnTo>
                  <a:lnTo>
                    <a:pt x="1002035" y="620119"/>
                  </a:lnTo>
                  <a:lnTo>
                    <a:pt x="920682" y="628745"/>
                  </a:lnTo>
                  <a:lnTo>
                    <a:pt x="922898" y="647658"/>
                  </a:lnTo>
                  <a:lnTo>
                    <a:pt x="927487" y="674090"/>
                  </a:lnTo>
                  <a:lnTo>
                    <a:pt x="882538" y="677335"/>
                  </a:lnTo>
                  <a:lnTo>
                    <a:pt x="880797" y="680065"/>
                  </a:lnTo>
                  <a:lnTo>
                    <a:pt x="864969" y="677889"/>
                  </a:lnTo>
                  <a:lnTo>
                    <a:pt x="852940" y="662220"/>
                  </a:lnTo>
                  <a:lnTo>
                    <a:pt x="838062" y="631989"/>
                  </a:lnTo>
                  <a:lnTo>
                    <a:pt x="804033" y="632543"/>
                  </a:lnTo>
                  <a:lnTo>
                    <a:pt x="788681" y="626054"/>
                  </a:lnTo>
                  <a:lnTo>
                    <a:pt x="777127" y="609633"/>
                  </a:lnTo>
                  <a:lnTo>
                    <a:pt x="771904" y="600255"/>
                  </a:lnTo>
                  <a:lnTo>
                    <a:pt x="778868" y="590640"/>
                  </a:lnTo>
                  <a:lnTo>
                    <a:pt x="806408" y="498643"/>
                  </a:lnTo>
                  <a:lnTo>
                    <a:pt x="736609" y="471183"/>
                  </a:lnTo>
                  <a:lnTo>
                    <a:pt x="613155" y="431654"/>
                  </a:lnTo>
                  <a:lnTo>
                    <a:pt x="550320" y="400197"/>
                  </a:lnTo>
                  <a:lnTo>
                    <a:pt x="550478" y="449776"/>
                  </a:lnTo>
                  <a:lnTo>
                    <a:pt x="539874" y="450053"/>
                  </a:lnTo>
                  <a:lnTo>
                    <a:pt x="516766" y="455078"/>
                  </a:lnTo>
                  <a:lnTo>
                    <a:pt x="502046" y="460222"/>
                  </a:lnTo>
                  <a:lnTo>
                    <a:pt x="507744" y="470866"/>
                  </a:lnTo>
                  <a:lnTo>
                    <a:pt x="505370" y="480640"/>
                  </a:lnTo>
                  <a:lnTo>
                    <a:pt x="495082" y="499039"/>
                  </a:lnTo>
                  <a:lnTo>
                    <a:pt x="474190" y="514906"/>
                  </a:lnTo>
                  <a:lnTo>
                    <a:pt x="472132" y="521158"/>
                  </a:lnTo>
                  <a:lnTo>
                    <a:pt x="463585" y="525154"/>
                  </a:lnTo>
                  <a:lnTo>
                    <a:pt x="358966" y="556295"/>
                  </a:lnTo>
                  <a:lnTo>
                    <a:pt x="334275" y="558629"/>
                  </a:lnTo>
                  <a:lnTo>
                    <a:pt x="324621" y="553960"/>
                  </a:lnTo>
                  <a:lnTo>
                    <a:pt x="305153" y="549647"/>
                  </a:lnTo>
                  <a:lnTo>
                    <a:pt x="306103" y="553604"/>
                  </a:lnTo>
                  <a:lnTo>
                    <a:pt x="287110" y="567255"/>
                  </a:lnTo>
                  <a:lnTo>
                    <a:pt x="260520" y="587673"/>
                  </a:lnTo>
                  <a:lnTo>
                    <a:pt x="238836" y="613155"/>
                  </a:lnTo>
                  <a:lnTo>
                    <a:pt x="233771" y="596259"/>
                  </a:lnTo>
                  <a:lnTo>
                    <a:pt x="228232" y="588147"/>
                  </a:lnTo>
                  <a:lnTo>
                    <a:pt x="221109" y="582212"/>
                  </a:lnTo>
                  <a:lnTo>
                    <a:pt x="200850" y="559975"/>
                  </a:lnTo>
                  <a:lnTo>
                    <a:pt x="170461" y="540982"/>
                  </a:lnTo>
                  <a:lnTo>
                    <a:pt x="164289" y="526341"/>
                  </a:lnTo>
                  <a:lnTo>
                    <a:pt x="178375" y="489147"/>
                  </a:lnTo>
                  <a:lnTo>
                    <a:pt x="180274" y="473319"/>
                  </a:lnTo>
                  <a:lnTo>
                    <a:pt x="169195" y="462557"/>
                  </a:lnTo>
                  <a:lnTo>
                    <a:pt x="157008" y="461488"/>
                  </a:lnTo>
                  <a:lnTo>
                    <a:pt x="144663" y="442337"/>
                  </a:lnTo>
                  <a:lnTo>
                    <a:pt x="119339" y="471618"/>
                  </a:lnTo>
                  <a:lnTo>
                    <a:pt x="111742" y="471460"/>
                  </a:lnTo>
                  <a:lnTo>
                    <a:pt x="88475" y="453535"/>
                  </a:lnTo>
                  <a:lnTo>
                    <a:pt x="32921" y="453456"/>
                  </a:lnTo>
                  <a:lnTo>
                    <a:pt x="25166" y="449024"/>
                  </a:lnTo>
                  <a:lnTo>
                    <a:pt x="17094" y="449341"/>
                  </a:lnTo>
                  <a:lnTo>
                    <a:pt x="0" y="444632"/>
                  </a:lnTo>
                  <a:lnTo>
                    <a:pt x="31180" y="418279"/>
                  </a:lnTo>
                  <a:lnTo>
                    <a:pt x="45425" y="397229"/>
                  </a:lnTo>
                  <a:lnTo>
                    <a:pt x="56346" y="367513"/>
                  </a:lnTo>
                  <a:lnTo>
                    <a:pt x="75022" y="322207"/>
                  </a:lnTo>
                  <a:lnTo>
                    <a:pt x="116648" y="256365"/>
                  </a:lnTo>
                  <a:lnTo>
                    <a:pt x="209397" y="211573"/>
                  </a:lnTo>
                  <a:lnTo>
                    <a:pt x="299297" y="168404"/>
                  </a:lnTo>
                  <a:lnTo>
                    <a:pt x="314016" y="162983"/>
                  </a:lnTo>
                </a:path>
              </a:pathLst>
            </a:custGeom>
            <a:solidFill>
              <a:srgbClr val="FFFFFF"/>
            </a:solidFill>
            <a:ln w="5132" cap="flat">
              <a:solidFill>
                <a:srgbClr val="030000"/>
              </a:solidFill>
              <a:prstDash val="solid"/>
              <a:miter/>
            </a:ln>
          </xdr:spPr>
          <xdr:txBody>
            <a:bodyPr rtlCol="0" anchor="ctr"/>
            <a:lstStyle/>
            <a:p>
              <a:endParaRPr lang="en-US"/>
            </a:p>
          </xdr:txBody>
        </xdr:sp>
        <xdr:sp macro="" textlink="">
          <xdr:nvSpPr>
            <xdr:cNvPr id="102" name="33_1">
              <a:extLst>
                <a:ext uri="{FF2B5EF4-FFF2-40B4-BE49-F238E27FC236}">
                  <a16:creationId xmlns:a16="http://schemas.microsoft.com/office/drawing/2014/main" id="{9339818B-3984-3B40-9B41-1B17C8567C8F}"/>
                </a:ext>
              </a:extLst>
            </xdr:cNvPr>
            <xdr:cNvSpPr/>
          </xdr:nvSpPr>
          <xdr:spPr>
            <a:xfrm>
              <a:off x="3897817" y="5695582"/>
              <a:ext cx="1125008" cy="814917"/>
            </a:xfrm>
            <a:custGeom>
              <a:avLst/>
              <a:gdLst>
                <a:gd name="connsiteX0" fmla="*/ 116015 w 1133475"/>
                <a:gd name="connsiteY0" fmla="*/ 177030 h 781050"/>
                <a:gd name="connsiteX1" fmla="*/ 116015 w 1133475"/>
                <a:gd name="connsiteY1" fmla="*/ 177030 h 781050"/>
                <a:gd name="connsiteX2" fmla="*/ 146404 w 1133475"/>
                <a:gd name="connsiteY2" fmla="*/ 164605 h 781050"/>
                <a:gd name="connsiteX3" fmla="*/ 190562 w 1133475"/>
                <a:gd name="connsiteY3" fmla="*/ 140033 h 781050"/>
                <a:gd name="connsiteX4" fmla="*/ 328894 w 1133475"/>
                <a:gd name="connsiteY4" fmla="*/ 44436 h 781050"/>
                <a:gd name="connsiteX5" fmla="*/ 345988 w 1133475"/>
                <a:gd name="connsiteY5" fmla="*/ 49144 h 781050"/>
                <a:gd name="connsiteX6" fmla="*/ 354060 w 1133475"/>
                <a:gd name="connsiteY6" fmla="*/ 48828 h 781050"/>
                <a:gd name="connsiteX7" fmla="*/ 361815 w 1133475"/>
                <a:gd name="connsiteY7" fmla="*/ 53259 h 781050"/>
                <a:gd name="connsiteX8" fmla="*/ 417369 w 1133475"/>
                <a:gd name="connsiteY8" fmla="*/ 53338 h 781050"/>
                <a:gd name="connsiteX9" fmla="*/ 440636 w 1133475"/>
                <a:gd name="connsiteY9" fmla="*/ 71263 h 781050"/>
                <a:gd name="connsiteX10" fmla="*/ 448233 w 1133475"/>
                <a:gd name="connsiteY10" fmla="*/ 71421 h 781050"/>
                <a:gd name="connsiteX11" fmla="*/ 473557 w 1133475"/>
                <a:gd name="connsiteY11" fmla="*/ 42141 h 781050"/>
                <a:gd name="connsiteX12" fmla="*/ 485902 w 1133475"/>
                <a:gd name="connsiteY12" fmla="*/ 61292 h 781050"/>
                <a:gd name="connsiteX13" fmla="*/ 498089 w 1133475"/>
                <a:gd name="connsiteY13" fmla="*/ 62360 h 781050"/>
                <a:gd name="connsiteX14" fmla="*/ 509168 w 1133475"/>
                <a:gd name="connsiteY14" fmla="*/ 73123 h 781050"/>
                <a:gd name="connsiteX15" fmla="*/ 507269 w 1133475"/>
                <a:gd name="connsiteY15" fmla="*/ 88950 h 781050"/>
                <a:gd name="connsiteX16" fmla="*/ 493183 w 1133475"/>
                <a:gd name="connsiteY16" fmla="*/ 126145 h 781050"/>
                <a:gd name="connsiteX17" fmla="*/ 499355 w 1133475"/>
                <a:gd name="connsiteY17" fmla="*/ 140785 h 781050"/>
                <a:gd name="connsiteX18" fmla="*/ 529744 w 1133475"/>
                <a:gd name="connsiteY18" fmla="*/ 159778 h 781050"/>
                <a:gd name="connsiteX19" fmla="*/ 550003 w 1133475"/>
                <a:gd name="connsiteY19" fmla="*/ 182015 h 781050"/>
                <a:gd name="connsiteX20" fmla="*/ 557126 w 1133475"/>
                <a:gd name="connsiteY20" fmla="*/ 187951 h 781050"/>
                <a:gd name="connsiteX21" fmla="*/ 562665 w 1133475"/>
                <a:gd name="connsiteY21" fmla="*/ 196062 h 781050"/>
                <a:gd name="connsiteX22" fmla="*/ 567730 w 1133475"/>
                <a:gd name="connsiteY22" fmla="*/ 212958 h 781050"/>
                <a:gd name="connsiteX23" fmla="*/ 589414 w 1133475"/>
                <a:gd name="connsiteY23" fmla="*/ 187476 h 781050"/>
                <a:gd name="connsiteX24" fmla="*/ 616004 w 1133475"/>
                <a:gd name="connsiteY24" fmla="*/ 167059 h 781050"/>
                <a:gd name="connsiteX25" fmla="*/ 634997 w 1133475"/>
                <a:gd name="connsiteY25" fmla="*/ 153407 h 781050"/>
                <a:gd name="connsiteX26" fmla="*/ 634047 w 1133475"/>
                <a:gd name="connsiteY26" fmla="*/ 149451 h 781050"/>
                <a:gd name="connsiteX27" fmla="*/ 653515 w 1133475"/>
                <a:gd name="connsiteY27" fmla="*/ 153763 h 781050"/>
                <a:gd name="connsiteX28" fmla="*/ 663169 w 1133475"/>
                <a:gd name="connsiteY28" fmla="*/ 158433 h 781050"/>
                <a:gd name="connsiteX29" fmla="*/ 687860 w 1133475"/>
                <a:gd name="connsiteY29" fmla="*/ 156098 h 781050"/>
                <a:gd name="connsiteX30" fmla="*/ 792479 w 1133475"/>
                <a:gd name="connsiteY30" fmla="*/ 124958 h 781050"/>
                <a:gd name="connsiteX31" fmla="*/ 800868 w 1133475"/>
                <a:gd name="connsiteY31" fmla="*/ 120961 h 781050"/>
                <a:gd name="connsiteX32" fmla="*/ 803084 w 1133475"/>
                <a:gd name="connsiteY32" fmla="*/ 114709 h 781050"/>
                <a:gd name="connsiteX33" fmla="*/ 823976 w 1133475"/>
                <a:gd name="connsiteY33" fmla="*/ 98842 h 781050"/>
                <a:gd name="connsiteX34" fmla="*/ 834264 w 1133475"/>
                <a:gd name="connsiteY34" fmla="*/ 80443 h 781050"/>
                <a:gd name="connsiteX35" fmla="*/ 836638 w 1133475"/>
                <a:gd name="connsiteY35" fmla="*/ 70669 h 781050"/>
                <a:gd name="connsiteX36" fmla="*/ 830940 w 1133475"/>
                <a:gd name="connsiteY36" fmla="*/ 60026 h 781050"/>
                <a:gd name="connsiteX37" fmla="*/ 845660 w 1133475"/>
                <a:gd name="connsiteY37" fmla="*/ 54882 h 781050"/>
                <a:gd name="connsiteX38" fmla="*/ 868768 w 1133475"/>
                <a:gd name="connsiteY38" fmla="*/ 49856 h 781050"/>
                <a:gd name="connsiteX39" fmla="*/ 879372 w 1133475"/>
                <a:gd name="connsiteY39" fmla="*/ 49579 h 781050"/>
                <a:gd name="connsiteX40" fmla="*/ 879214 w 1133475"/>
                <a:gd name="connsiteY40" fmla="*/ 0 h 781050"/>
                <a:gd name="connsiteX41" fmla="*/ 942049 w 1133475"/>
                <a:gd name="connsiteY41" fmla="*/ 31457 h 781050"/>
                <a:gd name="connsiteX42" fmla="*/ 1065503 w 1133475"/>
                <a:gd name="connsiteY42" fmla="*/ 70986 h 781050"/>
                <a:gd name="connsiteX43" fmla="*/ 1135302 w 1133475"/>
                <a:gd name="connsiteY43" fmla="*/ 98447 h 781050"/>
                <a:gd name="connsiteX44" fmla="*/ 1107762 w 1133475"/>
                <a:gd name="connsiteY44" fmla="*/ 190444 h 781050"/>
                <a:gd name="connsiteX45" fmla="*/ 1100798 w 1133475"/>
                <a:gd name="connsiteY45" fmla="*/ 200059 h 781050"/>
                <a:gd name="connsiteX46" fmla="*/ 1106021 w 1133475"/>
                <a:gd name="connsiteY46" fmla="*/ 209436 h 781050"/>
                <a:gd name="connsiteX47" fmla="*/ 1068352 w 1133475"/>
                <a:gd name="connsiteY47" fmla="*/ 210980 h 781050"/>
                <a:gd name="connsiteX48" fmla="*/ 1062179 w 1133475"/>
                <a:gd name="connsiteY48" fmla="*/ 219408 h 781050"/>
                <a:gd name="connsiteX49" fmla="*/ 1013114 w 1133475"/>
                <a:gd name="connsiteY49" fmla="*/ 220001 h 781050"/>
                <a:gd name="connsiteX50" fmla="*/ 986840 w 1133475"/>
                <a:gd name="connsiteY50" fmla="*/ 225383 h 781050"/>
                <a:gd name="connsiteX51" fmla="*/ 972437 w 1133475"/>
                <a:gd name="connsiteY51" fmla="*/ 239192 h 781050"/>
                <a:gd name="connsiteX52" fmla="*/ 973070 w 1133475"/>
                <a:gd name="connsiteY52" fmla="*/ 279394 h 781050"/>
                <a:gd name="connsiteX53" fmla="*/ 967689 w 1133475"/>
                <a:gd name="connsiteY53" fmla="*/ 289523 h 781050"/>
                <a:gd name="connsiteX54" fmla="*/ 967689 w 1133475"/>
                <a:gd name="connsiteY54" fmla="*/ 312196 h 781050"/>
                <a:gd name="connsiteX55" fmla="*/ 948221 w 1133475"/>
                <a:gd name="connsiteY55" fmla="*/ 307685 h 781050"/>
                <a:gd name="connsiteX56" fmla="*/ 940466 w 1133475"/>
                <a:gd name="connsiteY56" fmla="*/ 303412 h 781050"/>
                <a:gd name="connsiteX57" fmla="*/ 913084 w 1133475"/>
                <a:gd name="connsiteY57" fmla="*/ 309228 h 781050"/>
                <a:gd name="connsiteX58" fmla="*/ 861487 w 1133475"/>
                <a:gd name="connsiteY58" fmla="*/ 309624 h 781050"/>
                <a:gd name="connsiteX59" fmla="*/ 752911 w 1133475"/>
                <a:gd name="connsiteY59" fmla="*/ 345552 h 781050"/>
                <a:gd name="connsiteX60" fmla="*/ 623284 w 1133475"/>
                <a:gd name="connsiteY60" fmla="*/ 365416 h 781050"/>
                <a:gd name="connsiteX61" fmla="*/ 576435 w 1133475"/>
                <a:gd name="connsiteY61" fmla="*/ 376455 h 781050"/>
                <a:gd name="connsiteX62" fmla="*/ 556651 w 1133475"/>
                <a:gd name="connsiteY62" fmla="*/ 375704 h 781050"/>
                <a:gd name="connsiteX63" fmla="*/ 536550 w 1133475"/>
                <a:gd name="connsiteY63" fmla="*/ 377049 h 781050"/>
                <a:gd name="connsiteX64" fmla="*/ 511384 w 1133475"/>
                <a:gd name="connsiteY64" fmla="*/ 380768 h 781050"/>
                <a:gd name="connsiteX65" fmla="*/ 501096 w 1133475"/>
                <a:gd name="connsiteY65" fmla="*/ 374833 h 781050"/>
                <a:gd name="connsiteX66" fmla="*/ 510118 w 1133475"/>
                <a:gd name="connsiteY66" fmla="*/ 389157 h 781050"/>
                <a:gd name="connsiteX67" fmla="*/ 508694 w 1133475"/>
                <a:gd name="connsiteY67" fmla="*/ 399128 h 781050"/>
                <a:gd name="connsiteX68" fmla="*/ 533226 w 1133475"/>
                <a:gd name="connsiteY68" fmla="*/ 405617 h 781050"/>
                <a:gd name="connsiteX69" fmla="*/ 547471 w 1133475"/>
                <a:gd name="connsiteY69" fmla="*/ 410010 h 781050"/>
                <a:gd name="connsiteX70" fmla="*/ 557442 w 1133475"/>
                <a:gd name="connsiteY70" fmla="*/ 419902 h 781050"/>
                <a:gd name="connsiteX71" fmla="*/ 574061 w 1133475"/>
                <a:gd name="connsiteY71" fmla="*/ 427182 h 781050"/>
                <a:gd name="connsiteX72" fmla="*/ 589414 w 1133475"/>
                <a:gd name="connsiteY72" fmla="*/ 432880 h 781050"/>
                <a:gd name="connsiteX73" fmla="*/ 592896 w 1133475"/>
                <a:gd name="connsiteY73" fmla="*/ 449341 h 781050"/>
                <a:gd name="connsiteX74" fmla="*/ 596852 w 1133475"/>
                <a:gd name="connsiteY74" fmla="*/ 449341 h 781050"/>
                <a:gd name="connsiteX75" fmla="*/ 606507 w 1133475"/>
                <a:gd name="connsiteY75" fmla="*/ 470352 h 781050"/>
                <a:gd name="connsiteX76" fmla="*/ 615687 w 1133475"/>
                <a:gd name="connsiteY76" fmla="*/ 487089 h 781050"/>
                <a:gd name="connsiteX77" fmla="*/ 626450 w 1133475"/>
                <a:gd name="connsiteY77" fmla="*/ 521672 h 781050"/>
                <a:gd name="connsiteX78" fmla="*/ 638320 w 1133475"/>
                <a:gd name="connsiteY78" fmla="*/ 552417 h 781050"/>
                <a:gd name="connsiteX79" fmla="*/ 647500 w 1133475"/>
                <a:gd name="connsiteY79" fmla="*/ 572399 h 781050"/>
                <a:gd name="connsiteX80" fmla="*/ 648608 w 1133475"/>
                <a:gd name="connsiteY80" fmla="*/ 598277 h 781050"/>
                <a:gd name="connsiteX81" fmla="*/ 648133 w 1133475"/>
                <a:gd name="connsiteY81" fmla="*/ 603698 h 781050"/>
                <a:gd name="connsiteX82" fmla="*/ 649716 w 1133475"/>
                <a:gd name="connsiteY82" fmla="*/ 607457 h 781050"/>
                <a:gd name="connsiteX83" fmla="*/ 657788 w 1133475"/>
                <a:gd name="connsiteY83" fmla="*/ 614500 h 781050"/>
                <a:gd name="connsiteX84" fmla="*/ 662853 w 1133475"/>
                <a:gd name="connsiteY84" fmla="*/ 622058 h 781050"/>
                <a:gd name="connsiteX85" fmla="*/ 668551 w 1133475"/>
                <a:gd name="connsiteY85" fmla="*/ 631752 h 781050"/>
                <a:gd name="connsiteX86" fmla="*/ 670292 w 1133475"/>
                <a:gd name="connsiteY86" fmla="*/ 639863 h 781050"/>
                <a:gd name="connsiteX87" fmla="*/ 671400 w 1133475"/>
                <a:gd name="connsiteY87" fmla="*/ 646353 h 781050"/>
                <a:gd name="connsiteX88" fmla="*/ 686119 w 1133475"/>
                <a:gd name="connsiteY88" fmla="*/ 695457 h 781050"/>
                <a:gd name="connsiteX89" fmla="*/ 647500 w 1133475"/>
                <a:gd name="connsiteY89" fmla="*/ 700878 h 781050"/>
                <a:gd name="connsiteX90" fmla="*/ 631040 w 1133475"/>
                <a:gd name="connsiteY90" fmla="*/ 703569 h 781050"/>
                <a:gd name="connsiteX91" fmla="*/ 613313 w 1133475"/>
                <a:gd name="connsiteY91" fmla="*/ 705706 h 781050"/>
                <a:gd name="connsiteX92" fmla="*/ 596852 w 1133475"/>
                <a:gd name="connsiteY92" fmla="*/ 707882 h 781050"/>
                <a:gd name="connsiteX93" fmla="*/ 568363 w 1133475"/>
                <a:gd name="connsiteY93" fmla="*/ 702501 h 781050"/>
                <a:gd name="connsiteX94" fmla="*/ 546838 w 1133475"/>
                <a:gd name="connsiteY94" fmla="*/ 706814 h 781050"/>
                <a:gd name="connsiteX95" fmla="*/ 533068 w 1133475"/>
                <a:gd name="connsiteY95" fmla="*/ 710573 h 781050"/>
                <a:gd name="connsiteX96" fmla="*/ 519456 w 1133475"/>
                <a:gd name="connsiteY96" fmla="*/ 707328 h 781050"/>
                <a:gd name="connsiteX97" fmla="*/ 506953 w 1133475"/>
                <a:gd name="connsiteY97" fmla="*/ 698702 h 781050"/>
                <a:gd name="connsiteX98" fmla="*/ 493341 w 1133475"/>
                <a:gd name="connsiteY98" fmla="*/ 696565 h 781050"/>
                <a:gd name="connsiteX99" fmla="*/ 480837 w 1133475"/>
                <a:gd name="connsiteY99" fmla="*/ 697080 h 781050"/>
                <a:gd name="connsiteX100" fmla="*/ 462003 w 1133475"/>
                <a:gd name="connsiteY100" fmla="*/ 693321 h 781050"/>
                <a:gd name="connsiteX101" fmla="*/ 406765 w 1133475"/>
                <a:gd name="connsiteY101" fmla="*/ 692767 h 781050"/>
                <a:gd name="connsiteX102" fmla="*/ 393153 w 1133475"/>
                <a:gd name="connsiteY102" fmla="*/ 731623 h 781050"/>
                <a:gd name="connsiteX103" fmla="*/ 392520 w 1133475"/>
                <a:gd name="connsiteY103" fmla="*/ 738112 h 781050"/>
                <a:gd name="connsiteX104" fmla="*/ 383973 w 1133475"/>
                <a:gd name="connsiteY104" fmla="*/ 739181 h 781050"/>
                <a:gd name="connsiteX105" fmla="*/ 377801 w 1133475"/>
                <a:gd name="connsiteY105" fmla="*/ 745116 h 781050"/>
                <a:gd name="connsiteX106" fmla="*/ 372103 w 1133475"/>
                <a:gd name="connsiteY106" fmla="*/ 740289 h 781050"/>
                <a:gd name="connsiteX107" fmla="*/ 372103 w 1133475"/>
                <a:gd name="connsiteY107" fmla="*/ 750497 h 781050"/>
                <a:gd name="connsiteX108" fmla="*/ 365772 w 1133475"/>
                <a:gd name="connsiteY108" fmla="*/ 754296 h 781050"/>
                <a:gd name="connsiteX109" fmla="*/ 358491 w 1133475"/>
                <a:gd name="connsiteY109" fmla="*/ 757540 h 781050"/>
                <a:gd name="connsiteX110" fmla="*/ 351527 w 1133475"/>
                <a:gd name="connsiteY110" fmla="*/ 768343 h 781050"/>
                <a:gd name="connsiteX111" fmla="*/ 345988 w 1133475"/>
                <a:gd name="connsiteY111" fmla="*/ 775346 h 781050"/>
                <a:gd name="connsiteX112" fmla="*/ 342980 w 1133475"/>
                <a:gd name="connsiteY112" fmla="*/ 776969 h 781050"/>
                <a:gd name="connsiteX113" fmla="*/ 349311 w 1133475"/>
                <a:gd name="connsiteY113" fmla="*/ 788285 h 781050"/>
                <a:gd name="connsiteX114" fmla="*/ 339657 w 1133475"/>
                <a:gd name="connsiteY114" fmla="*/ 787771 h 781050"/>
                <a:gd name="connsiteX115" fmla="*/ 327628 w 1133475"/>
                <a:gd name="connsiteY115" fmla="*/ 777523 h 781050"/>
                <a:gd name="connsiteX116" fmla="*/ 317498 w 1133475"/>
                <a:gd name="connsiteY116" fmla="*/ 767789 h 781050"/>
                <a:gd name="connsiteX117" fmla="*/ 313541 w 1133475"/>
                <a:gd name="connsiteY117" fmla="*/ 758648 h 781050"/>
                <a:gd name="connsiteX118" fmla="*/ 317973 w 1133475"/>
                <a:gd name="connsiteY118" fmla="*/ 751605 h 781050"/>
                <a:gd name="connsiteX119" fmla="*/ 322088 w 1133475"/>
                <a:gd name="connsiteY119" fmla="*/ 739181 h 781050"/>
                <a:gd name="connsiteX120" fmla="*/ 319714 w 1133475"/>
                <a:gd name="connsiteY120" fmla="*/ 713263 h 781050"/>
                <a:gd name="connsiteX121" fmla="*/ 319081 w 1133475"/>
                <a:gd name="connsiteY121" fmla="*/ 689522 h 781050"/>
                <a:gd name="connsiteX122" fmla="*/ 284419 w 1133475"/>
                <a:gd name="connsiteY122" fmla="*/ 690076 h 781050"/>
                <a:gd name="connsiteX123" fmla="*/ 259412 w 1133475"/>
                <a:gd name="connsiteY123" fmla="*/ 696565 h 781050"/>
                <a:gd name="connsiteX124" fmla="*/ 238361 w 1133475"/>
                <a:gd name="connsiteY124" fmla="*/ 698148 h 781050"/>
                <a:gd name="connsiteX125" fmla="*/ 207023 w 1133475"/>
                <a:gd name="connsiteY125" fmla="*/ 701393 h 781050"/>
                <a:gd name="connsiteX126" fmla="*/ 191195 w 1133475"/>
                <a:gd name="connsiteY126" fmla="*/ 703015 h 781050"/>
                <a:gd name="connsiteX127" fmla="*/ 172361 w 1133475"/>
                <a:gd name="connsiteY127" fmla="*/ 703015 h 781050"/>
                <a:gd name="connsiteX128" fmla="*/ 148461 w 1133475"/>
                <a:gd name="connsiteY128" fmla="*/ 697080 h 781050"/>
                <a:gd name="connsiteX129" fmla="*/ 122346 w 1133475"/>
                <a:gd name="connsiteY129" fmla="*/ 696565 h 781050"/>
                <a:gd name="connsiteX130" fmla="*/ 95598 w 1133475"/>
                <a:gd name="connsiteY130" fmla="*/ 698148 h 781050"/>
                <a:gd name="connsiteX131" fmla="*/ 55079 w 1133475"/>
                <a:gd name="connsiteY131" fmla="*/ 702501 h 781050"/>
                <a:gd name="connsiteX132" fmla="*/ 47166 w 1133475"/>
                <a:gd name="connsiteY132" fmla="*/ 648489 h 781050"/>
                <a:gd name="connsiteX133" fmla="*/ 37511 w 1133475"/>
                <a:gd name="connsiteY133" fmla="*/ 628507 h 781050"/>
                <a:gd name="connsiteX134" fmla="*/ 33554 w 1133475"/>
                <a:gd name="connsiteY134" fmla="*/ 605320 h 781050"/>
                <a:gd name="connsiteX135" fmla="*/ 27223 w 1133475"/>
                <a:gd name="connsiteY135" fmla="*/ 585338 h 781050"/>
                <a:gd name="connsiteX136" fmla="*/ 19309 w 1133475"/>
                <a:gd name="connsiteY136" fmla="*/ 577780 h 781050"/>
                <a:gd name="connsiteX137" fmla="*/ 0 w 1133475"/>
                <a:gd name="connsiteY137" fmla="*/ 577266 h 781050"/>
                <a:gd name="connsiteX138" fmla="*/ 9655 w 1133475"/>
                <a:gd name="connsiteY138" fmla="*/ 515697 h 781050"/>
                <a:gd name="connsiteX139" fmla="*/ 11871 w 1133475"/>
                <a:gd name="connsiteY139" fmla="*/ 503312 h 781050"/>
                <a:gd name="connsiteX140" fmla="*/ 23266 w 1133475"/>
                <a:gd name="connsiteY140" fmla="*/ 499553 h 781050"/>
                <a:gd name="connsiteX141" fmla="*/ 33554 w 1133475"/>
                <a:gd name="connsiteY141" fmla="*/ 500582 h 781050"/>
                <a:gd name="connsiteX142" fmla="*/ 52231 w 1133475"/>
                <a:gd name="connsiteY142" fmla="*/ 489265 h 781050"/>
                <a:gd name="connsiteX143" fmla="*/ 67583 w 1133475"/>
                <a:gd name="connsiteY143" fmla="*/ 483330 h 781050"/>
                <a:gd name="connsiteX144" fmla="*/ 60303 w 1133475"/>
                <a:gd name="connsiteY144" fmla="*/ 454722 h 781050"/>
                <a:gd name="connsiteX145" fmla="*/ 77871 w 1133475"/>
                <a:gd name="connsiteY145" fmla="*/ 450409 h 781050"/>
                <a:gd name="connsiteX146" fmla="*/ 95598 w 1133475"/>
                <a:gd name="connsiteY146" fmla="*/ 449341 h 781050"/>
                <a:gd name="connsiteX147" fmla="*/ 110317 w 1133475"/>
                <a:gd name="connsiteY147" fmla="*/ 445542 h 781050"/>
                <a:gd name="connsiteX148" fmla="*/ 119497 w 1133475"/>
                <a:gd name="connsiteY148" fmla="*/ 442298 h 781050"/>
                <a:gd name="connsiteX149" fmla="*/ 125195 w 1133475"/>
                <a:gd name="connsiteY149" fmla="*/ 446057 h 781050"/>
                <a:gd name="connsiteX150" fmla="*/ 143397 w 1133475"/>
                <a:gd name="connsiteY150" fmla="*/ 444474 h 781050"/>
                <a:gd name="connsiteX151" fmla="*/ 159857 w 1133475"/>
                <a:gd name="connsiteY151" fmla="*/ 437470 h 781050"/>
                <a:gd name="connsiteX152" fmla="*/ 175210 w 1133475"/>
                <a:gd name="connsiteY152" fmla="*/ 434740 h 781050"/>
                <a:gd name="connsiteX153" fmla="*/ 182015 w 1133475"/>
                <a:gd name="connsiteY153" fmla="*/ 431535 h 781050"/>
                <a:gd name="connsiteX154" fmla="*/ 171728 w 1133475"/>
                <a:gd name="connsiteY154" fmla="*/ 390502 h 781050"/>
                <a:gd name="connsiteX155" fmla="*/ 159857 w 1133475"/>
                <a:gd name="connsiteY155" fmla="*/ 360826 h 781050"/>
                <a:gd name="connsiteX156" fmla="*/ 155900 w 1133475"/>
                <a:gd name="connsiteY156" fmla="*/ 352714 h 781050"/>
                <a:gd name="connsiteX157" fmla="*/ 154159 w 1133475"/>
                <a:gd name="connsiteY157" fmla="*/ 342466 h 781050"/>
                <a:gd name="connsiteX158" fmla="*/ 156375 w 1133475"/>
                <a:gd name="connsiteY158" fmla="*/ 335423 h 781050"/>
                <a:gd name="connsiteX159" fmla="*/ 160965 w 1133475"/>
                <a:gd name="connsiteY159" fmla="*/ 327865 h 781050"/>
                <a:gd name="connsiteX160" fmla="*/ 158749 w 1133475"/>
                <a:gd name="connsiteY160" fmla="*/ 314372 h 781050"/>
                <a:gd name="connsiteX161" fmla="*/ 160965 w 1133475"/>
                <a:gd name="connsiteY161" fmla="*/ 305746 h 781050"/>
                <a:gd name="connsiteX162" fmla="*/ 160490 w 1133475"/>
                <a:gd name="connsiteY162" fmla="*/ 297120 h 781050"/>
                <a:gd name="connsiteX163" fmla="*/ 148936 w 1133475"/>
                <a:gd name="connsiteY163" fmla="*/ 290631 h 781050"/>
                <a:gd name="connsiteX164" fmla="*/ 142130 w 1133475"/>
                <a:gd name="connsiteY164" fmla="*/ 280897 h 781050"/>
                <a:gd name="connsiteX165" fmla="*/ 137066 w 1133475"/>
                <a:gd name="connsiteY165" fmla="*/ 272311 h 781050"/>
                <a:gd name="connsiteX166" fmla="*/ 130260 w 1133475"/>
                <a:gd name="connsiteY166" fmla="*/ 268512 h 781050"/>
                <a:gd name="connsiteX167" fmla="*/ 126778 w 1133475"/>
                <a:gd name="connsiteY167" fmla="*/ 259847 h 781050"/>
                <a:gd name="connsiteX168" fmla="*/ 132001 w 1133475"/>
                <a:gd name="connsiteY168" fmla="*/ 246908 h 781050"/>
                <a:gd name="connsiteX169" fmla="*/ 133584 w 1133475"/>
                <a:gd name="connsiteY169" fmla="*/ 237728 h 781050"/>
                <a:gd name="connsiteX170" fmla="*/ 139914 w 1133475"/>
                <a:gd name="connsiteY170" fmla="*/ 230724 h 781050"/>
                <a:gd name="connsiteX171" fmla="*/ 134217 w 1133475"/>
                <a:gd name="connsiteY171" fmla="*/ 221544 h 781050"/>
                <a:gd name="connsiteX172" fmla="*/ 132476 w 1133475"/>
                <a:gd name="connsiteY172" fmla="*/ 212919 h 781050"/>
                <a:gd name="connsiteX173" fmla="*/ 133584 w 1133475"/>
                <a:gd name="connsiteY173" fmla="*/ 202116 h 781050"/>
                <a:gd name="connsiteX174" fmla="*/ 138173 w 1133475"/>
                <a:gd name="connsiteY174" fmla="*/ 198318 h 781050"/>
                <a:gd name="connsiteX175" fmla="*/ 137699 w 1133475"/>
                <a:gd name="connsiteY175" fmla="*/ 193490 h 781050"/>
                <a:gd name="connsiteX176" fmla="*/ 125195 w 1133475"/>
                <a:gd name="connsiteY176" fmla="*/ 188623 h 781050"/>
                <a:gd name="connsiteX177" fmla="*/ 116015 w 1133475"/>
                <a:gd name="connsiteY177" fmla="*/ 177030 h 7810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 ang="0">
                  <a:pos x="connsiteX169" y="connsiteY169"/>
                </a:cxn>
                <a:cxn ang="0">
                  <a:pos x="connsiteX170" y="connsiteY170"/>
                </a:cxn>
                <a:cxn ang="0">
                  <a:pos x="connsiteX171" y="connsiteY171"/>
                </a:cxn>
                <a:cxn ang="0">
                  <a:pos x="connsiteX172" y="connsiteY172"/>
                </a:cxn>
                <a:cxn ang="0">
                  <a:pos x="connsiteX173" y="connsiteY173"/>
                </a:cxn>
                <a:cxn ang="0">
                  <a:pos x="connsiteX174" y="connsiteY174"/>
                </a:cxn>
                <a:cxn ang="0">
                  <a:pos x="connsiteX175" y="connsiteY175"/>
                </a:cxn>
                <a:cxn ang="0">
                  <a:pos x="connsiteX176" y="connsiteY176"/>
                </a:cxn>
                <a:cxn ang="0">
                  <a:pos x="connsiteX177" y="connsiteY177"/>
                </a:cxn>
              </a:cxnLst>
              <a:rect l="l" t="t" r="r" b="b"/>
              <a:pathLst>
                <a:path w="1133475" h="781050">
                  <a:moveTo>
                    <a:pt x="116015" y="177030"/>
                  </a:moveTo>
                  <a:lnTo>
                    <a:pt x="116015" y="177030"/>
                  </a:lnTo>
                  <a:lnTo>
                    <a:pt x="146404" y="164605"/>
                  </a:lnTo>
                  <a:lnTo>
                    <a:pt x="190562" y="140033"/>
                  </a:lnTo>
                  <a:lnTo>
                    <a:pt x="328894" y="44436"/>
                  </a:lnTo>
                  <a:lnTo>
                    <a:pt x="345988" y="49144"/>
                  </a:lnTo>
                  <a:lnTo>
                    <a:pt x="354060" y="48828"/>
                  </a:lnTo>
                  <a:lnTo>
                    <a:pt x="361815" y="53259"/>
                  </a:lnTo>
                  <a:lnTo>
                    <a:pt x="417369" y="53338"/>
                  </a:lnTo>
                  <a:lnTo>
                    <a:pt x="440636" y="71263"/>
                  </a:lnTo>
                  <a:lnTo>
                    <a:pt x="448233" y="71421"/>
                  </a:lnTo>
                  <a:lnTo>
                    <a:pt x="473557" y="42141"/>
                  </a:lnTo>
                  <a:lnTo>
                    <a:pt x="485902" y="61292"/>
                  </a:lnTo>
                  <a:lnTo>
                    <a:pt x="498089" y="62360"/>
                  </a:lnTo>
                  <a:lnTo>
                    <a:pt x="509168" y="73123"/>
                  </a:lnTo>
                  <a:lnTo>
                    <a:pt x="507269" y="88950"/>
                  </a:lnTo>
                  <a:lnTo>
                    <a:pt x="493183" y="126145"/>
                  </a:lnTo>
                  <a:lnTo>
                    <a:pt x="499355" y="140785"/>
                  </a:lnTo>
                  <a:lnTo>
                    <a:pt x="529744" y="159778"/>
                  </a:lnTo>
                  <a:lnTo>
                    <a:pt x="550003" y="182015"/>
                  </a:lnTo>
                  <a:lnTo>
                    <a:pt x="557126" y="187951"/>
                  </a:lnTo>
                  <a:lnTo>
                    <a:pt x="562665" y="196062"/>
                  </a:lnTo>
                  <a:lnTo>
                    <a:pt x="567730" y="212958"/>
                  </a:lnTo>
                  <a:lnTo>
                    <a:pt x="589414" y="187476"/>
                  </a:lnTo>
                  <a:lnTo>
                    <a:pt x="616004" y="167059"/>
                  </a:lnTo>
                  <a:lnTo>
                    <a:pt x="634997" y="153407"/>
                  </a:lnTo>
                  <a:lnTo>
                    <a:pt x="634047" y="149451"/>
                  </a:lnTo>
                  <a:lnTo>
                    <a:pt x="653515" y="153763"/>
                  </a:lnTo>
                  <a:lnTo>
                    <a:pt x="663169" y="158433"/>
                  </a:lnTo>
                  <a:lnTo>
                    <a:pt x="687860" y="156098"/>
                  </a:lnTo>
                  <a:lnTo>
                    <a:pt x="792479" y="124958"/>
                  </a:lnTo>
                  <a:lnTo>
                    <a:pt x="800868" y="120961"/>
                  </a:lnTo>
                  <a:lnTo>
                    <a:pt x="803084" y="114709"/>
                  </a:lnTo>
                  <a:lnTo>
                    <a:pt x="823976" y="98842"/>
                  </a:lnTo>
                  <a:lnTo>
                    <a:pt x="834264" y="80443"/>
                  </a:lnTo>
                  <a:lnTo>
                    <a:pt x="836638" y="70669"/>
                  </a:lnTo>
                  <a:lnTo>
                    <a:pt x="830940" y="60026"/>
                  </a:lnTo>
                  <a:lnTo>
                    <a:pt x="845660" y="54882"/>
                  </a:lnTo>
                  <a:lnTo>
                    <a:pt x="868768" y="49856"/>
                  </a:lnTo>
                  <a:lnTo>
                    <a:pt x="879372" y="49579"/>
                  </a:lnTo>
                  <a:lnTo>
                    <a:pt x="879214" y="0"/>
                  </a:lnTo>
                  <a:lnTo>
                    <a:pt x="942049" y="31457"/>
                  </a:lnTo>
                  <a:lnTo>
                    <a:pt x="1065503" y="70986"/>
                  </a:lnTo>
                  <a:lnTo>
                    <a:pt x="1135302" y="98447"/>
                  </a:lnTo>
                  <a:lnTo>
                    <a:pt x="1107762" y="190444"/>
                  </a:lnTo>
                  <a:lnTo>
                    <a:pt x="1100798" y="200059"/>
                  </a:lnTo>
                  <a:lnTo>
                    <a:pt x="1106021" y="209436"/>
                  </a:lnTo>
                  <a:lnTo>
                    <a:pt x="1068352" y="210980"/>
                  </a:lnTo>
                  <a:lnTo>
                    <a:pt x="1062179" y="219408"/>
                  </a:lnTo>
                  <a:lnTo>
                    <a:pt x="1013114" y="220001"/>
                  </a:lnTo>
                  <a:lnTo>
                    <a:pt x="986840" y="225383"/>
                  </a:lnTo>
                  <a:lnTo>
                    <a:pt x="972437" y="239192"/>
                  </a:lnTo>
                  <a:lnTo>
                    <a:pt x="973070" y="279394"/>
                  </a:lnTo>
                  <a:lnTo>
                    <a:pt x="967689" y="289523"/>
                  </a:lnTo>
                  <a:lnTo>
                    <a:pt x="967689" y="312196"/>
                  </a:lnTo>
                  <a:lnTo>
                    <a:pt x="948221" y="307685"/>
                  </a:lnTo>
                  <a:lnTo>
                    <a:pt x="940466" y="303412"/>
                  </a:lnTo>
                  <a:lnTo>
                    <a:pt x="913084" y="309228"/>
                  </a:lnTo>
                  <a:lnTo>
                    <a:pt x="861487" y="309624"/>
                  </a:lnTo>
                  <a:lnTo>
                    <a:pt x="752911" y="345552"/>
                  </a:lnTo>
                  <a:lnTo>
                    <a:pt x="623284" y="365416"/>
                  </a:lnTo>
                  <a:lnTo>
                    <a:pt x="576435" y="376455"/>
                  </a:lnTo>
                  <a:lnTo>
                    <a:pt x="556651" y="375704"/>
                  </a:lnTo>
                  <a:lnTo>
                    <a:pt x="536550" y="377049"/>
                  </a:lnTo>
                  <a:lnTo>
                    <a:pt x="511384" y="380768"/>
                  </a:lnTo>
                  <a:lnTo>
                    <a:pt x="501096" y="374833"/>
                  </a:lnTo>
                  <a:lnTo>
                    <a:pt x="510118" y="389157"/>
                  </a:lnTo>
                  <a:lnTo>
                    <a:pt x="508694" y="399128"/>
                  </a:lnTo>
                  <a:lnTo>
                    <a:pt x="533226" y="405617"/>
                  </a:lnTo>
                  <a:lnTo>
                    <a:pt x="547471" y="410010"/>
                  </a:lnTo>
                  <a:lnTo>
                    <a:pt x="557442" y="419902"/>
                  </a:lnTo>
                  <a:lnTo>
                    <a:pt x="574061" y="427182"/>
                  </a:lnTo>
                  <a:lnTo>
                    <a:pt x="589414" y="432880"/>
                  </a:lnTo>
                  <a:lnTo>
                    <a:pt x="592896" y="449341"/>
                  </a:lnTo>
                  <a:lnTo>
                    <a:pt x="596852" y="449341"/>
                  </a:lnTo>
                  <a:lnTo>
                    <a:pt x="606507" y="470352"/>
                  </a:lnTo>
                  <a:lnTo>
                    <a:pt x="615687" y="487089"/>
                  </a:lnTo>
                  <a:lnTo>
                    <a:pt x="626450" y="521672"/>
                  </a:lnTo>
                  <a:lnTo>
                    <a:pt x="638320" y="552417"/>
                  </a:lnTo>
                  <a:lnTo>
                    <a:pt x="647500" y="572399"/>
                  </a:lnTo>
                  <a:lnTo>
                    <a:pt x="648608" y="598277"/>
                  </a:lnTo>
                  <a:lnTo>
                    <a:pt x="648133" y="603698"/>
                  </a:lnTo>
                  <a:lnTo>
                    <a:pt x="649716" y="607457"/>
                  </a:lnTo>
                  <a:lnTo>
                    <a:pt x="657788" y="614500"/>
                  </a:lnTo>
                  <a:lnTo>
                    <a:pt x="662853" y="622058"/>
                  </a:lnTo>
                  <a:lnTo>
                    <a:pt x="668551" y="631752"/>
                  </a:lnTo>
                  <a:lnTo>
                    <a:pt x="670292" y="639863"/>
                  </a:lnTo>
                  <a:lnTo>
                    <a:pt x="671400" y="646353"/>
                  </a:lnTo>
                  <a:lnTo>
                    <a:pt x="686119" y="695457"/>
                  </a:lnTo>
                  <a:lnTo>
                    <a:pt x="647500" y="700878"/>
                  </a:lnTo>
                  <a:lnTo>
                    <a:pt x="631040" y="703569"/>
                  </a:lnTo>
                  <a:lnTo>
                    <a:pt x="613313" y="705706"/>
                  </a:lnTo>
                  <a:lnTo>
                    <a:pt x="596852" y="707882"/>
                  </a:lnTo>
                  <a:lnTo>
                    <a:pt x="568363" y="702501"/>
                  </a:lnTo>
                  <a:lnTo>
                    <a:pt x="546838" y="706814"/>
                  </a:lnTo>
                  <a:lnTo>
                    <a:pt x="533068" y="710573"/>
                  </a:lnTo>
                  <a:lnTo>
                    <a:pt x="519456" y="707328"/>
                  </a:lnTo>
                  <a:lnTo>
                    <a:pt x="506953" y="698702"/>
                  </a:lnTo>
                  <a:lnTo>
                    <a:pt x="493341" y="696565"/>
                  </a:lnTo>
                  <a:lnTo>
                    <a:pt x="480837" y="697080"/>
                  </a:lnTo>
                  <a:lnTo>
                    <a:pt x="462003" y="693321"/>
                  </a:lnTo>
                  <a:lnTo>
                    <a:pt x="406765" y="692767"/>
                  </a:lnTo>
                  <a:lnTo>
                    <a:pt x="393153" y="731623"/>
                  </a:lnTo>
                  <a:lnTo>
                    <a:pt x="392520" y="738112"/>
                  </a:lnTo>
                  <a:lnTo>
                    <a:pt x="383973" y="739181"/>
                  </a:lnTo>
                  <a:lnTo>
                    <a:pt x="377801" y="745116"/>
                  </a:lnTo>
                  <a:lnTo>
                    <a:pt x="372103" y="740289"/>
                  </a:lnTo>
                  <a:lnTo>
                    <a:pt x="372103" y="750497"/>
                  </a:lnTo>
                  <a:lnTo>
                    <a:pt x="365772" y="754296"/>
                  </a:lnTo>
                  <a:lnTo>
                    <a:pt x="358491" y="757540"/>
                  </a:lnTo>
                  <a:lnTo>
                    <a:pt x="351527" y="768343"/>
                  </a:lnTo>
                  <a:lnTo>
                    <a:pt x="345988" y="775346"/>
                  </a:lnTo>
                  <a:lnTo>
                    <a:pt x="342980" y="776969"/>
                  </a:lnTo>
                  <a:lnTo>
                    <a:pt x="349311" y="788285"/>
                  </a:lnTo>
                  <a:lnTo>
                    <a:pt x="339657" y="787771"/>
                  </a:lnTo>
                  <a:lnTo>
                    <a:pt x="327628" y="777523"/>
                  </a:lnTo>
                  <a:lnTo>
                    <a:pt x="317498" y="767789"/>
                  </a:lnTo>
                  <a:lnTo>
                    <a:pt x="313541" y="758648"/>
                  </a:lnTo>
                  <a:lnTo>
                    <a:pt x="317973" y="751605"/>
                  </a:lnTo>
                  <a:lnTo>
                    <a:pt x="322088" y="739181"/>
                  </a:lnTo>
                  <a:lnTo>
                    <a:pt x="319714" y="713263"/>
                  </a:lnTo>
                  <a:lnTo>
                    <a:pt x="319081" y="689522"/>
                  </a:lnTo>
                  <a:lnTo>
                    <a:pt x="284419" y="690076"/>
                  </a:lnTo>
                  <a:lnTo>
                    <a:pt x="259412" y="696565"/>
                  </a:lnTo>
                  <a:lnTo>
                    <a:pt x="238361" y="698148"/>
                  </a:lnTo>
                  <a:lnTo>
                    <a:pt x="207023" y="701393"/>
                  </a:lnTo>
                  <a:lnTo>
                    <a:pt x="191195" y="703015"/>
                  </a:lnTo>
                  <a:lnTo>
                    <a:pt x="172361" y="703015"/>
                  </a:lnTo>
                  <a:lnTo>
                    <a:pt x="148461" y="697080"/>
                  </a:lnTo>
                  <a:lnTo>
                    <a:pt x="122346" y="696565"/>
                  </a:lnTo>
                  <a:lnTo>
                    <a:pt x="95598" y="698148"/>
                  </a:lnTo>
                  <a:lnTo>
                    <a:pt x="55079" y="702501"/>
                  </a:lnTo>
                  <a:lnTo>
                    <a:pt x="47166" y="648489"/>
                  </a:lnTo>
                  <a:lnTo>
                    <a:pt x="37511" y="628507"/>
                  </a:lnTo>
                  <a:lnTo>
                    <a:pt x="33554" y="605320"/>
                  </a:lnTo>
                  <a:lnTo>
                    <a:pt x="27223" y="585338"/>
                  </a:lnTo>
                  <a:lnTo>
                    <a:pt x="19309" y="577780"/>
                  </a:lnTo>
                  <a:lnTo>
                    <a:pt x="0" y="577266"/>
                  </a:lnTo>
                  <a:lnTo>
                    <a:pt x="9655" y="515697"/>
                  </a:lnTo>
                  <a:lnTo>
                    <a:pt x="11871" y="503312"/>
                  </a:lnTo>
                  <a:lnTo>
                    <a:pt x="23266" y="499553"/>
                  </a:lnTo>
                  <a:lnTo>
                    <a:pt x="33554" y="500582"/>
                  </a:lnTo>
                  <a:lnTo>
                    <a:pt x="52231" y="489265"/>
                  </a:lnTo>
                  <a:lnTo>
                    <a:pt x="67583" y="483330"/>
                  </a:lnTo>
                  <a:lnTo>
                    <a:pt x="60303" y="454722"/>
                  </a:lnTo>
                  <a:lnTo>
                    <a:pt x="77871" y="450409"/>
                  </a:lnTo>
                  <a:lnTo>
                    <a:pt x="95598" y="449341"/>
                  </a:lnTo>
                  <a:lnTo>
                    <a:pt x="110317" y="445542"/>
                  </a:lnTo>
                  <a:lnTo>
                    <a:pt x="119497" y="442298"/>
                  </a:lnTo>
                  <a:lnTo>
                    <a:pt x="125195" y="446057"/>
                  </a:lnTo>
                  <a:lnTo>
                    <a:pt x="143397" y="444474"/>
                  </a:lnTo>
                  <a:lnTo>
                    <a:pt x="159857" y="437470"/>
                  </a:lnTo>
                  <a:lnTo>
                    <a:pt x="175210" y="434740"/>
                  </a:lnTo>
                  <a:lnTo>
                    <a:pt x="182015" y="431535"/>
                  </a:lnTo>
                  <a:lnTo>
                    <a:pt x="171728" y="390502"/>
                  </a:lnTo>
                  <a:lnTo>
                    <a:pt x="159857" y="360826"/>
                  </a:lnTo>
                  <a:lnTo>
                    <a:pt x="155900" y="352714"/>
                  </a:lnTo>
                  <a:lnTo>
                    <a:pt x="154159" y="342466"/>
                  </a:lnTo>
                  <a:lnTo>
                    <a:pt x="156375" y="335423"/>
                  </a:lnTo>
                  <a:lnTo>
                    <a:pt x="160965" y="327865"/>
                  </a:lnTo>
                  <a:lnTo>
                    <a:pt x="158749" y="314372"/>
                  </a:lnTo>
                  <a:lnTo>
                    <a:pt x="160965" y="305746"/>
                  </a:lnTo>
                  <a:lnTo>
                    <a:pt x="160490" y="297120"/>
                  </a:lnTo>
                  <a:lnTo>
                    <a:pt x="148936" y="290631"/>
                  </a:lnTo>
                  <a:lnTo>
                    <a:pt x="142130" y="280897"/>
                  </a:lnTo>
                  <a:lnTo>
                    <a:pt x="137066" y="272311"/>
                  </a:lnTo>
                  <a:lnTo>
                    <a:pt x="130260" y="268512"/>
                  </a:lnTo>
                  <a:lnTo>
                    <a:pt x="126778" y="259847"/>
                  </a:lnTo>
                  <a:lnTo>
                    <a:pt x="132001" y="246908"/>
                  </a:lnTo>
                  <a:lnTo>
                    <a:pt x="133584" y="237728"/>
                  </a:lnTo>
                  <a:lnTo>
                    <a:pt x="139914" y="230724"/>
                  </a:lnTo>
                  <a:lnTo>
                    <a:pt x="134217" y="221544"/>
                  </a:lnTo>
                  <a:lnTo>
                    <a:pt x="132476" y="212919"/>
                  </a:lnTo>
                  <a:lnTo>
                    <a:pt x="133584" y="202116"/>
                  </a:lnTo>
                  <a:lnTo>
                    <a:pt x="138173" y="198318"/>
                  </a:lnTo>
                  <a:lnTo>
                    <a:pt x="137699" y="193490"/>
                  </a:lnTo>
                  <a:lnTo>
                    <a:pt x="125195" y="188623"/>
                  </a:lnTo>
                  <a:lnTo>
                    <a:pt x="116015" y="177030"/>
                  </a:lnTo>
                </a:path>
              </a:pathLst>
            </a:custGeom>
            <a:solidFill>
              <a:srgbClr val="FFFFFF"/>
            </a:solidFill>
            <a:ln w="5132" cap="flat">
              <a:solidFill>
                <a:srgbClr val="030000"/>
              </a:solidFill>
              <a:prstDash val="solid"/>
              <a:miter/>
            </a:ln>
          </xdr:spPr>
          <xdr:txBody>
            <a:bodyPr rtlCol="0" anchor="ctr"/>
            <a:lstStyle/>
            <a:p>
              <a:endParaRPr lang="en-US"/>
            </a:p>
          </xdr:txBody>
        </xdr:sp>
        <xdr:sp macro="" textlink="">
          <xdr:nvSpPr>
            <xdr:cNvPr id="103" name="32_1">
              <a:extLst>
                <a:ext uri="{FF2B5EF4-FFF2-40B4-BE49-F238E27FC236}">
                  <a16:creationId xmlns:a16="http://schemas.microsoft.com/office/drawing/2014/main" id="{2FCD6532-2648-024D-B743-6314D55E27E9}"/>
                </a:ext>
              </a:extLst>
            </xdr:cNvPr>
            <xdr:cNvSpPr/>
          </xdr:nvSpPr>
          <xdr:spPr>
            <a:xfrm>
              <a:off x="3349239" y="4946354"/>
              <a:ext cx="929217" cy="928159"/>
            </a:xfrm>
            <a:custGeom>
              <a:avLst/>
              <a:gdLst>
                <a:gd name="connsiteX0" fmla="*/ 933818 w 933450"/>
                <a:gd name="connsiteY0" fmla="*/ 682677 h 885825"/>
                <a:gd name="connsiteX1" fmla="*/ 933818 w 933450"/>
                <a:gd name="connsiteY1" fmla="*/ 682677 h 885825"/>
                <a:gd name="connsiteX2" fmla="*/ 922898 w 933450"/>
                <a:gd name="connsiteY2" fmla="*/ 712393 h 885825"/>
                <a:gd name="connsiteX3" fmla="*/ 908653 w 933450"/>
                <a:gd name="connsiteY3" fmla="*/ 733443 h 885825"/>
                <a:gd name="connsiteX4" fmla="*/ 877473 w 933450"/>
                <a:gd name="connsiteY4" fmla="*/ 759796 h 885825"/>
                <a:gd name="connsiteX5" fmla="*/ 739141 w 933450"/>
                <a:gd name="connsiteY5" fmla="*/ 855394 h 885825"/>
                <a:gd name="connsiteX6" fmla="*/ 694983 w 933450"/>
                <a:gd name="connsiteY6" fmla="*/ 879966 h 885825"/>
                <a:gd name="connsiteX7" fmla="*/ 664594 w 933450"/>
                <a:gd name="connsiteY7" fmla="*/ 892390 h 885825"/>
                <a:gd name="connsiteX8" fmla="*/ 660004 w 933450"/>
                <a:gd name="connsiteY8" fmla="*/ 882142 h 885825"/>
                <a:gd name="connsiteX9" fmla="*/ 652407 w 933450"/>
                <a:gd name="connsiteY9" fmla="*/ 864573 h 885825"/>
                <a:gd name="connsiteX10" fmla="*/ 637529 w 933450"/>
                <a:gd name="connsiteY10" fmla="*/ 838419 h 885825"/>
                <a:gd name="connsiteX11" fmla="*/ 636738 w 933450"/>
                <a:gd name="connsiteY11" fmla="*/ 821918 h 885825"/>
                <a:gd name="connsiteX12" fmla="*/ 632781 w 933450"/>
                <a:gd name="connsiteY12" fmla="*/ 815469 h 885825"/>
                <a:gd name="connsiteX13" fmla="*/ 575011 w 933450"/>
                <a:gd name="connsiteY13" fmla="*/ 817606 h 885825"/>
                <a:gd name="connsiteX14" fmla="*/ 550478 w 933450"/>
                <a:gd name="connsiteY14" fmla="*/ 797663 h 885825"/>
                <a:gd name="connsiteX15" fmla="*/ 519773 w 933450"/>
                <a:gd name="connsiteY15" fmla="*/ 796832 h 885825"/>
                <a:gd name="connsiteX16" fmla="*/ 512967 w 933450"/>
                <a:gd name="connsiteY16" fmla="*/ 787929 h 885825"/>
                <a:gd name="connsiteX17" fmla="*/ 511859 w 933450"/>
                <a:gd name="connsiteY17" fmla="*/ 774990 h 885825"/>
                <a:gd name="connsiteX18" fmla="*/ 493658 w 933450"/>
                <a:gd name="connsiteY18" fmla="*/ 774990 h 885825"/>
                <a:gd name="connsiteX19" fmla="*/ 478305 w 933450"/>
                <a:gd name="connsiteY19" fmla="*/ 780925 h 885825"/>
                <a:gd name="connsiteX20" fmla="*/ 458837 w 933450"/>
                <a:gd name="connsiteY20" fmla="*/ 790659 h 885825"/>
                <a:gd name="connsiteX21" fmla="*/ 444118 w 933450"/>
                <a:gd name="connsiteY21" fmla="*/ 795764 h 885825"/>
                <a:gd name="connsiteX22" fmla="*/ 425600 w 933450"/>
                <a:gd name="connsiteY22" fmla="*/ 796595 h 885825"/>
                <a:gd name="connsiteX23" fmla="*/ 418477 w 933450"/>
                <a:gd name="connsiteY23" fmla="*/ 800354 h 885825"/>
                <a:gd name="connsiteX24" fmla="*/ 405341 w 933450"/>
                <a:gd name="connsiteY24" fmla="*/ 806566 h 885825"/>
                <a:gd name="connsiteX25" fmla="*/ 377484 w 933450"/>
                <a:gd name="connsiteY25" fmla="*/ 814954 h 885825"/>
                <a:gd name="connsiteX26" fmla="*/ 372103 w 933450"/>
                <a:gd name="connsiteY26" fmla="*/ 818159 h 885825"/>
                <a:gd name="connsiteX27" fmla="*/ 369254 w 933450"/>
                <a:gd name="connsiteY27" fmla="*/ 826785 h 885825"/>
                <a:gd name="connsiteX28" fmla="*/ 361815 w 933450"/>
                <a:gd name="connsiteY28" fmla="*/ 834343 h 885825"/>
                <a:gd name="connsiteX29" fmla="*/ 350419 w 933450"/>
                <a:gd name="connsiteY29" fmla="*/ 835965 h 885825"/>
                <a:gd name="connsiteX30" fmla="*/ 338232 w 933450"/>
                <a:gd name="connsiteY30" fmla="*/ 832721 h 885825"/>
                <a:gd name="connsiteX31" fmla="*/ 336808 w 933450"/>
                <a:gd name="connsiteY31" fmla="*/ 824372 h 885825"/>
                <a:gd name="connsiteX32" fmla="*/ 360707 w 933450"/>
                <a:gd name="connsiteY32" fmla="*/ 804152 h 885825"/>
                <a:gd name="connsiteX33" fmla="*/ 377168 w 933450"/>
                <a:gd name="connsiteY33" fmla="*/ 792796 h 885825"/>
                <a:gd name="connsiteX34" fmla="*/ 428449 w 933450"/>
                <a:gd name="connsiteY34" fmla="*/ 769055 h 885825"/>
                <a:gd name="connsiteX35" fmla="*/ 473398 w 933450"/>
                <a:gd name="connsiteY35" fmla="*/ 734512 h 885825"/>
                <a:gd name="connsiteX36" fmla="*/ 512650 w 933450"/>
                <a:gd name="connsiteY36" fmla="*/ 702105 h 885825"/>
                <a:gd name="connsiteX37" fmla="*/ 543989 w 933450"/>
                <a:gd name="connsiteY37" fmla="*/ 671360 h 885825"/>
                <a:gd name="connsiteX38" fmla="*/ 570737 w 933450"/>
                <a:gd name="connsiteY38" fmla="*/ 653554 h 885825"/>
                <a:gd name="connsiteX39" fmla="*/ 556492 w 933450"/>
                <a:gd name="connsiteY39" fmla="*/ 644928 h 885825"/>
                <a:gd name="connsiteX40" fmla="*/ 549054 w 933450"/>
                <a:gd name="connsiteY40" fmla="*/ 635748 h 885825"/>
                <a:gd name="connsiteX41" fmla="*/ 542248 w 933450"/>
                <a:gd name="connsiteY41" fmla="*/ 628705 h 885825"/>
                <a:gd name="connsiteX42" fmla="*/ 504737 w 933450"/>
                <a:gd name="connsiteY42" fmla="*/ 599029 h 885825"/>
                <a:gd name="connsiteX43" fmla="*/ 501255 w 933450"/>
                <a:gd name="connsiteY43" fmla="*/ 592579 h 885825"/>
                <a:gd name="connsiteX44" fmla="*/ 500780 w 933450"/>
                <a:gd name="connsiteY44" fmla="*/ 582291 h 885825"/>
                <a:gd name="connsiteX45" fmla="*/ 490492 w 933450"/>
                <a:gd name="connsiteY45" fmla="*/ 571529 h 885825"/>
                <a:gd name="connsiteX46" fmla="*/ 476247 w 933450"/>
                <a:gd name="connsiteY46" fmla="*/ 569352 h 885825"/>
                <a:gd name="connsiteX47" fmla="*/ 456305 w 933450"/>
                <a:gd name="connsiteY47" fmla="*/ 567770 h 885825"/>
                <a:gd name="connsiteX48" fmla="*/ 430664 w 933450"/>
                <a:gd name="connsiteY48" fmla="*/ 563417 h 885825"/>
                <a:gd name="connsiteX49" fmla="*/ 397110 w 933450"/>
                <a:gd name="connsiteY49" fmla="*/ 561241 h 885825"/>
                <a:gd name="connsiteX50" fmla="*/ 371470 w 933450"/>
                <a:gd name="connsiteY50" fmla="*/ 559104 h 885825"/>
                <a:gd name="connsiteX51" fmla="*/ 356117 w 933450"/>
                <a:gd name="connsiteY51" fmla="*/ 556413 h 885825"/>
                <a:gd name="connsiteX52" fmla="*/ 339182 w 933450"/>
                <a:gd name="connsiteY52" fmla="*/ 554791 h 885825"/>
                <a:gd name="connsiteX53" fmla="*/ 323196 w 933450"/>
                <a:gd name="connsiteY53" fmla="*/ 546679 h 885825"/>
                <a:gd name="connsiteX54" fmla="*/ 306103 w 933450"/>
                <a:gd name="connsiteY54" fmla="*/ 540230 h 885825"/>
                <a:gd name="connsiteX55" fmla="*/ 294232 w 933450"/>
                <a:gd name="connsiteY55" fmla="*/ 538607 h 885825"/>
                <a:gd name="connsiteX56" fmla="*/ 278879 w 933450"/>
                <a:gd name="connsiteY56" fmla="*/ 541298 h 885825"/>
                <a:gd name="connsiteX57" fmla="*/ 266217 w 933450"/>
                <a:gd name="connsiteY57" fmla="*/ 540744 h 885825"/>
                <a:gd name="connsiteX58" fmla="*/ 251498 w 933450"/>
                <a:gd name="connsiteY58" fmla="*/ 536431 h 885825"/>
                <a:gd name="connsiteX59" fmla="*/ 233296 w 933450"/>
                <a:gd name="connsiteY59" fmla="*/ 536431 h 885825"/>
                <a:gd name="connsiteX60" fmla="*/ 218419 w 933450"/>
                <a:gd name="connsiteY60" fmla="*/ 539122 h 885825"/>
                <a:gd name="connsiteX61" fmla="*/ 205915 w 933450"/>
                <a:gd name="connsiteY61" fmla="*/ 541298 h 885825"/>
                <a:gd name="connsiteX62" fmla="*/ 192303 w 933450"/>
                <a:gd name="connsiteY62" fmla="*/ 539122 h 885825"/>
                <a:gd name="connsiteX63" fmla="*/ 170145 w 933450"/>
                <a:gd name="connsiteY63" fmla="*/ 538054 h 885825"/>
                <a:gd name="connsiteX64" fmla="*/ 150202 w 933450"/>
                <a:gd name="connsiteY64" fmla="*/ 535363 h 885825"/>
                <a:gd name="connsiteX65" fmla="*/ 130893 w 933450"/>
                <a:gd name="connsiteY65" fmla="*/ 531050 h 885825"/>
                <a:gd name="connsiteX66" fmla="*/ 117123 w 933450"/>
                <a:gd name="connsiteY66" fmla="*/ 528359 h 885825"/>
                <a:gd name="connsiteX67" fmla="*/ 94490 w 933450"/>
                <a:gd name="connsiteY67" fmla="*/ 527251 h 885825"/>
                <a:gd name="connsiteX68" fmla="*/ 97339 w 933450"/>
                <a:gd name="connsiteY68" fmla="*/ 524561 h 885825"/>
                <a:gd name="connsiteX69" fmla="*/ 100188 w 933450"/>
                <a:gd name="connsiteY69" fmla="*/ 518071 h 885825"/>
                <a:gd name="connsiteX70" fmla="*/ 101770 w 933450"/>
                <a:gd name="connsiteY70" fmla="*/ 502956 h 885825"/>
                <a:gd name="connsiteX71" fmla="*/ 99555 w 933450"/>
                <a:gd name="connsiteY71" fmla="*/ 493776 h 885825"/>
                <a:gd name="connsiteX72" fmla="*/ 88159 w 933450"/>
                <a:gd name="connsiteY72" fmla="*/ 464654 h 885825"/>
                <a:gd name="connsiteX73" fmla="*/ 80245 w 933450"/>
                <a:gd name="connsiteY73" fmla="*/ 444157 h 885825"/>
                <a:gd name="connsiteX74" fmla="*/ 81353 w 933450"/>
                <a:gd name="connsiteY74" fmla="*/ 436046 h 885825"/>
                <a:gd name="connsiteX75" fmla="*/ 84835 w 933450"/>
                <a:gd name="connsiteY75" fmla="*/ 424175 h 885825"/>
                <a:gd name="connsiteX76" fmla="*/ 84202 w 933450"/>
                <a:gd name="connsiteY76" fmla="*/ 416618 h 885825"/>
                <a:gd name="connsiteX77" fmla="*/ 77396 w 933450"/>
                <a:gd name="connsiteY77" fmla="*/ 393984 h 885825"/>
                <a:gd name="connsiteX78" fmla="*/ 59195 w 933450"/>
                <a:gd name="connsiteY78" fmla="*/ 375071 h 885825"/>
                <a:gd name="connsiteX79" fmla="*/ 42101 w 933450"/>
                <a:gd name="connsiteY79" fmla="*/ 349707 h 885825"/>
                <a:gd name="connsiteX80" fmla="*/ 37511 w 933450"/>
                <a:gd name="connsiteY80" fmla="*/ 332455 h 885825"/>
                <a:gd name="connsiteX81" fmla="*/ 30072 w 933450"/>
                <a:gd name="connsiteY81" fmla="*/ 314095 h 885825"/>
                <a:gd name="connsiteX82" fmla="*/ 1741 w 933450"/>
                <a:gd name="connsiteY82" fmla="*/ 308674 h 885825"/>
                <a:gd name="connsiteX83" fmla="*/ 0 w 933450"/>
                <a:gd name="connsiteY83" fmla="*/ 290908 h 885825"/>
                <a:gd name="connsiteX84" fmla="*/ 20417 w 933450"/>
                <a:gd name="connsiteY84" fmla="*/ 283351 h 885825"/>
                <a:gd name="connsiteX85" fmla="*/ 19309 w 933450"/>
                <a:gd name="connsiteY85" fmla="*/ 258502 h 885825"/>
                <a:gd name="connsiteX86" fmla="*/ 43209 w 933450"/>
                <a:gd name="connsiteY86" fmla="*/ 231516 h 885825"/>
                <a:gd name="connsiteX87" fmla="*/ 61410 w 933450"/>
                <a:gd name="connsiteY87" fmla="*/ 199149 h 885825"/>
                <a:gd name="connsiteX88" fmla="*/ 84202 w 933450"/>
                <a:gd name="connsiteY88" fmla="*/ 152735 h 885825"/>
                <a:gd name="connsiteX89" fmla="*/ 72806 w 933450"/>
                <a:gd name="connsiteY89" fmla="*/ 120368 h 885825"/>
                <a:gd name="connsiteX90" fmla="*/ 148461 w 933450"/>
                <a:gd name="connsiteY90" fmla="*/ 66396 h 885825"/>
                <a:gd name="connsiteX91" fmla="*/ 176951 w 933450"/>
                <a:gd name="connsiteY91" fmla="*/ 68572 h 885825"/>
                <a:gd name="connsiteX92" fmla="*/ 215095 w 933450"/>
                <a:gd name="connsiteY92" fmla="*/ 29676 h 885825"/>
                <a:gd name="connsiteX93" fmla="*/ 236620 w 933450"/>
                <a:gd name="connsiteY93" fmla="*/ 12978 h 885825"/>
                <a:gd name="connsiteX94" fmla="*/ 241843 w 933450"/>
                <a:gd name="connsiteY94" fmla="*/ 1108 h 885825"/>
                <a:gd name="connsiteX95" fmla="*/ 279354 w 933450"/>
                <a:gd name="connsiteY95" fmla="*/ 0 h 885825"/>
                <a:gd name="connsiteX96" fmla="*/ 303887 w 933450"/>
                <a:gd name="connsiteY96" fmla="*/ 16738 h 885825"/>
                <a:gd name="connsiteX97" fmla="*/ 306103 w 933450"/>
                <a:gd name="connsiteY97" fmla="*/ 33989 h 885825"/>
                <a:gd name="connsiteX98" fmla="*/ 325412 w 933450"/>
                <a:gd name="connsiteY98" fmla="*/ 38342 h 885825"/>
                <a:gd name="connsiteX99" fmla="*/ 378434 w 933450"/>
                <a:gd name="connsiteY99" fmla="*/ 69087 h 885825"/>
                <a:gd name="connsiteX100" fmla="*/ 415312 w 933450"/>
                <a:gd name="connsiteY100" fmla="*/ 82026 h 885825"/>
                <a:gd name="connsiteX101" fmla="*/ 443801 w 933450"/>
                <a:gd name="connsiteY101" fmla="*/ 99317 h 885825"/>
                <a:gd name="connsiteX102" fmla="*/ 464377 w 933450"/>
                <a:gd name="connsiteY102" fmla="*/ 106321 h 885825"/>
                <a:gd name="connsiteX103" fmla="*/ 480204 w 933450"/>
                <a:gd name="connsiteY103" fmla="*/ 108457 h 885825"/>
                <a:gd name="connsiteX104" fmla="*/ 482420 w 933450"/>
                <a:gd name="connsiteY104" fmla="*/ 117123 h 885825"/>
                <a:gd name="connsiteX105" fmla="*/ 521197 w 933450"/>
                <a:gd name="connsiteY105" fmla="*/ 153803 h 885825"/>
                <a:gd name="connsiteX106" fmla="*/ 530852 w 933450"/>
                <a:gd name="connsiteY106" fmla="*/ 156533 h 885825"/>
                <a:gd name="connsiteX107" fmla="*/ 580392 w 933450"/>
                <a:gd name="connsiteY107" fmla="*/ 188346 h 885825"/>
                <a:gd name="connsiteX108" fmla="*/ 604924 w 933450"/>
                <a:gd name="connsiteY108" fmla="*/ 206152 h 885825"/>
                <a:gd name="connsiteX109" fmla="*/ 632781 w 933450"/>
                <a:gd name="connsiteY109" fmla="*/ 213710 h 885825"/>
                <a:gd name="connsiteX110" fmla="*/ 674882 w 933450"/>
                <a:gd name="connsiteY110" fmla="*/ 212088 h 885825"/>
                <a:gd name="connsiteX111" fmla="*/ 687860 w 933450"/>
                <a:gd name="connsiteY111" fmla="*/ 217469 h 885825"/>
                <a:gd name="connsiteX112" fmla="*/ 689126 w 933450"/>
                <a:gd name="connsiteY112" fmla="*/ 193213 h 885825"/>
                <a:gd name="connsiteX113" fmla="*/ 728378 w 933450"/>
                <a:gd name="connsiteY113" fmla="*/ 182965 h 885825"/>
                <a:gd name="connsiteX114" fmla="*/ 796595 w 933450"/>
                <a:gd name="connsiteY114" fmla="*/ 202354 h 885825"/>
                <a:gd name="connsiteX115" fmla="*/ 809098 w 933450"/>
                <a:gd name="connsiteY115" fmla="*/ 221821 h 885825"/>
                <a:gd name="connsiteX116" fmla="*/ 825084 w 933450"/>
                <a:gd name="connsiteY116" fmla="*/ 220714 h 885825"/>
                <a:gd name="connsiteX117" fmla="*/ 823976 w 933450"/>
                <a:gd name="connsiteY117" fmla="*/ 245563 h 885825"/>
                <a:gd name="connsiteX118" fmla="*/ 806249 w 933450"/>
                <a:gd name="connsiteY118" fmla="*/ 344840 h 885825"/>
                <a:gd name="connsiteX119" fmla="*/ 808307 w 933450"/>
                <a:gd name="connsiteY119" fmla="*/ 376139 h 885825"/>
                <a:gd name="connsiteX120" fmla="*/ 811472 w 933450"/>
                <a:gd name="connsiteY120" fmla="*/ 435333 h 885825"/>
                <a:gd name="connsiteX121" fmla="*/ 812580 w 933450"/>
                <a:gd name="connsiteY121" fmla="*/ 450528 h 885825"/>
                <a:gd name="connsiteX122" fmla="*/ 802451 w 933450"/>
                <a:gd name="connsiteY122" fmla="*/ 453100 h 885825"/>
                <a:gd name="connsiteX123" fmla="*/ 793904 w 933450"/>
                <a:gd name="connsiteY123" fmla="*/ 445028 h 885825"/>
                <a:gd name="connsiteX124" fmla="*/ 769688 w 933450"/>
                <a:gd name="connsiteY124" fmla="*/ 444157 h 885825"/>
                <a:gd name="connsiteX125" fmla="*/ 738350 w 933450"/>
                <a:gd name="connsiteY125" fmla="*/ 454762 h 885825"/>
                <a:gd name="connsiteX126" fmla="*/ 742307 w 933450"/>
                <a:gd name="connsiteY126" fmla="*/ 469085 h 885825"/>
                <a:gd name="connsiteX127" fmla="*/ 757343 w 933450"/>
                <a:gd name="connsiteY127" fmla="*/ 477870 h 885825"/>
                <a:gd name="connsiteX128" fmla="*/ 786623 w 933450"/>
                <a:gd name="connsiteY128" fmla="*/ 508614 h 885825"/>
                <a:gd name="connsiteX129" fmla="*/ 801185 w 933450"/>
                <a:gd name="connsiteY129" fmla="*/ 532672 h 885825"/>
                <a:gd name="connsiteX130" fmla="*/ 933818 w 933450"/>
                <a:gd name="connsiteY130" fmla="*/ 682677 h 8858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Lst>
              <a:rect l="l" t="t" r="r" b="b"/>
              <a:pathLst>
                <a:path w="933450" h="885825">
                  <a:moveTo>
                    <a:pt x="933818" y="682677"/>
                  </a:moveTo>
                  <a:lnTo>
                    <a:pt x="933818" y="682677"/>
                  </a:lnTo>
                  <a:lnTo>
                    <a:pt x="922898" y="712393"/>
                  </a:lnTo>
                  <a:lnTo>
                    <a:pt x="908653" y="733443"/>
                  </a:lnTo>
                  <a:lnTo>
                    <a:pt x="877473" y="759796"/>
                  </a:lnTo>
                  <a:lnTo>
                    <a:pt x="739141" y="855394"/>
                  </a:lnTo>
                  <a:lnTo>
                    <a:pt x="694983" y="879966"/>
                  </a:lnTo>
                  <a:lnTo>
                    <a:pt x="664594" y="892390"/>
                  </a:lnTo>
                  <a:lnTo>
                    <a:pt x="660004" y="882142"/>
                  </a:lnTo>
                  <a:lnTo>
                    <a:pt x="652407" y="864573"/>
                  </a:lnTo>
                  <a:lnTo>
                    <a:pt x="637529" y="838419"/>
                  </a:lnTo>
                  <a:lnTo>
                    <a:pt x="636738" y="821918"/>
                  </a:lnTo>
                  <a:lnTo>
                    <a:pt x="632781" y="815469"/>
                  </a:lnTo>
                  <a:lnTo>
                    <a:pt x="575011" y="817606"/>
                  </a:lnTo>
                  <a:lnTo>
                    <a:pt x="550478" y="797663"/>
                  </a:lnTo>
                  <a:lnTo>
                    <a:pt x="519773" y="796832"/>
                  </a:lnTo>
                  <a:lnTo>
                    <a:pt x="512967" y="787929"/>
                  </a:lnTo>
                  <a:lnTo>
                    <a:pt x="511859" y="774990"/>
                  </a:lnTo>
                  <a:lnTo>
                    <a:pt x="493658" y="774990"/>
                  </a:lnTo>
                  <a:lnTo>
                    <a:pt x="478305" y="780925"/>
                  </a:lnTo>
                  <a:lnTo>
                    <a:pt x="458837" y="790659"/>
                  </a:lnTo>
                  <a:lnTo>
                    <a:pt x="444118" y="795764"/>
                  </a:lnTo>
                  <a:lnTo>
                    <a:pt x="425600" y="796595"/>
                  </a:lnTo>
                  <a:lnTo>
                    <a:pt x="418477" y="800354"/>
                  </a:lnTo>
                  <a:lnTo>
                    <a:pt x="405341" y="806566"/>
                  </a:lnTo>
                  <a:lnTo>
                    <a:pt x="377484" y="814954"/>
                  </a:lnTo>
                  <a:lnTo>
                    <a:pt x="372103" y="818159"/>
                  </a:lnTo>
                  <a:lnTo>
                    <a:pt x="369254" y="826785"/>
                  </a:lnTo>
                  <a:lnTo>
                    <a:pt x="361815" y="834343"/>
                  </a:lnTo>
                  <a:lnTo>
                    <a:pt x="350419" y="835965"/>
                  </a:lnTo>
                  <a:lnTo>
                    <a:pt x="338232" y="832721"/>
                  </a:lnTo>
                  <a:lnTo>
                    <a:pt x="336808" y="824372"/>
                  </a:lnTo>
                  <a:lnTo>
                    <a:pt x="360707" y="804152"/>
                  </a:lnTo>
                  <a:lnTo>
                    <a:pt x="377168" y="792796"/>
                  </a:lnTo>
                  <a:lnTo>
                    <a:pt x="428449" y="769055"/>
                  </a:lnTo>
                  <a:lnTo>
                    <a:pt x="473398" y="734512"/>
                  </a:lnTo>
                  <a:lnTo>
                    <a:pt x="512650" y="702105"/>
                  </a:lnTo>
                  <a:lnTo>
                    <a:pt x="543989" y="671360"/>
                  </a:lnTo>
                  <a:lnTo>
                    <a:pt x="570737" y="653554"/>
                  </a:lnTo>
                  <a:lnTo>
                    <a:pt x="556492" y="644928"/>
                  </a:lnTo>
                  <a:lnTo>
                    <a:pt x="549054" y="635748"/>
                  </a:lnTo>
                  <a:lnTo>
                    <a:pt x="542248" y="628705"/>
                  </a:lnTo>
                  <a:lnTo>
                    <a:pt x="504737" y="599029"/>
                  </a:lnTo>
                  <a:lnTo>
                    <a:pt x="501255" y="592579"/>
                  </a:lnTo>
                  <a:lnTo>
                    <a:pt x="500780" y="582291"/>
                  </a:lnTo>
                  <a:lnTo>
                    <a:pt x="490492" y="571529"/>
                  </a:lnTo>
                  <a:lnTo>
                    <a:pt x="476247" y="569352"/>
                  </a:lnTo>
                  <a:lnTo>
                    <a:pt x="456305" y="567770"/>
                  </a:lnTo>
                  <a:lnTo>
                    <a:pt x="430664" y="563417"/>
                  </a:lnTo>
                  <a:lnTo>
                    <a:pt x="397110" y="561241"/>
                  </a:lnTo>
                  <a:lnTo>
                    <a:pt x="371470" y="559104"/>
                  </a:lnTo>
                  <a:lnTo>
                    <a:pt x="356117" y="556413"/>
                  </a:lnTo>
                  <a:lnTo>
                    <a:pt x="339182" y="554791"/>
                  </a:lnTo>
                  <a:lnTo>
                    <a:pt x="323196" y="546679"/>
                  </a:lnTo>
                  <a:lnTo>
                    <a:pt x="306103" y="540230"/>
                  </a:lnTo>
                  <a:lnTo>
                    <a:pt x="294232" y="538607"/>
                  </a:lnTo>
                  <a:lnTo>
                    <a:pt x="278879" y="541298"/>
                  </a:lnTo>
                  <a:lnTo>
                    <a:pt x="266217" y="540744"/>
                  </a:lnTo>
                  <a:lnTo>
                    <a:pt x="251498" y="536431"/>
                  </a:lnTo>
                  <a:lnTo>
                    <a:pt x="233296" y="536431"/>
                  </a:lnTo>
                  <a:lnTo>
                    <a:pt x="218419" y="539122"/>
                  </a:lnTo>
                  <a:lnTo>
                    <a:pt x="205915" y="541298"/>
                  </a:lnTo>
                  <a:lnTo>
                    <a:pt x="192303" y="539122"/>
                  </a:lnTo>
                  <a:lnTo>
                    <a:pt x="170145" y="538054"/>
                  </a:lnTo>
                  <a:lnTo>
                    <a:pt x="150202" y="535363"/>
                  </a:lnTo>
                  <a:lnTo>
                    <a:pt x="130893" y="531050"/>
                  </a:lnTo>
                  <a:lnTo>
                    <a:pt x="117123" y="528359"/>
                  </a:lnTo>
                  <a:lnTo>
                    <a:pt x="94490" y="527251"/>
                  </a:lnTo>
                  <a:lnTo>
                    <a:pt x="97339" y="524561"/>
                  </a:lnTo>
                  <a:lnTo>
                    <a:pt x="100188" y="518071"/>
                  </a:lnTo>
                  <a:lnTo>
                    <a:pt x="101770" y="502956"/>
                  </a:lnTo>
                  <a:lnTo>
                    <a:pt x="99555" y="493776"/>
                  </a:lnTo>
                  <a:lnTo>
                    <a:pt x="88159" y="464654"/>
                  </a:lnTo>
                  <a:lnTo>
                    <a:pt x="80245" y="444157"/>
                  </a:lnTo>
                  <a:lnTo>
                    <a:pt x="81353" y="436046"/>
                  </a:lnTo>
                  <a:lnTo>
                    <a:pt x="84835" y="424175"/>
                  </a:lnTo>
                  <a:lnTo>
                    <a:pt x="84202" y="416618"/>
                  </a:lnTo>
                  <a:lnTo>
                    <a:pt x="77396" y="393984"/>
                  </a:lnTo>
                  <a:lnTo>
                    <a:pt x="59195" y="375071"/>
                  </a:lnTo>
                  <a:lnTo>
                    <a:pt x="42101" y="349707"/>
                  </a:lnTo>
                  <a:lnTo>
                    <a:pt x="37511" y="332455"/>
                  </a:lnTo>
                  <a:lnTo>
                    <a:pt x="30072" y="314095"/>
                  </a:lnTo>
                  <a:lnTo>
                    <a:pt x="1741" y="308674"/>
                  </a:lnTo>
                  <a:lnTo>
                    <a:pt x="0" y="290908"/>
                  </a:lnTo>
                  <a:lnTo>
                    <a:pt x="20417" y="283351"/>
                  </a:lnTo>
                  <a:lnTo>
                    <a:pt x="19309" y="258502"/>
                  </a:lnTo>
                  <a:lnTo>
                    <a:pt x="43209" y="231516"/>
                  </a:lnTo>
                  <a:lnTo>
                    <a:pt x="61410" y="199149"/>
                  </a:lnTo>
                  <a:lnTo>
                    <a:pt x="84202" y="152735"/>
                  </a:lnTo>
                  <a:lnTo>
                    <a:pt x="72806" y="120368"/>
                  </a:lnTo>
                  <a:lnTo>
                    <a:pt x="148461" y="66396"/>
                  </a:lnTo>
                  <a:lnTo>
                    <a:pt x="176951" y="68572"/>
                  </a:lnTo>
                  <a:lnTo>
                    <a:pt x="215095" y="29676"/>
                  </a:lnTo>
                  <a:lnTo>
                    <a:pt x="236620" y="12978"/>
                  </a:lnTo>
                  <a:lnTo>
                    <a:pt x="241843" y="1108"/>
                  </a:lnTo>
                  <a:lnTo>
                    <a:pt x="279354" y="0"/>
                  </a:lnTo>
                  <a:lnTo>
                    <a:pt x="303887" y="16738"/>
                  </a:lnTo>
                  <a:lnTo>
                    <a:pt x="306103" y="33989"/>
                  </a:lnTo>
                  <a:lnTo>
                    <a:pt x="325412" y="38342"/>
                  </a:lnTo>
                  <a:lnTo>
                    <a:pt x="378434" y="69087"/>
                  </a:lnTo>
                  <a:lnTo>
                    <a:pt x="415312" y="82026"/>
                  </a:lnTo>
                  <a:lnTo>
                    <a:pt x="443801" y="99317"/>
                  </a:lnTo>
                  <a:lnTo>
                    <a:pt x="464377" y="106321"/>
                  </a:lnTo>
                  <a:lnTo>
                    <a:pt x="480204" y="108457"/>
                  </a:lnTo>
                  <a:lnTo>
                    <a:pt x="482420" y="117123"/>
                  </a:lnTo>
                  <a:lnTo>
                    <a:pt x="521197" y="153803"/>
                  </a:lnTo>
                  <a:lnTo>
                    <a:pt x="530852" y="156533"/>
                  </a:lnTo>
                  <a:lnTo>
                    <a:pt x="580392" y="188346"/>
                  </a:lnTo>
                  <a:lnTo>
                    <a:pt x="604924" y="206152"/>
                  </a:lnTo>
                  <a:lnTo>
                    <a:pt x="632781" y="213710"/>
                  </a:lnTo>
                  <a:lnTo>
                    <a:pt x="674882" y="212088"/>
                  </a:lnTo>
                  <a:lnTo>
                    <a:pt x="687860" y="217469"/>
                  </a:lnTo>
                  <a:lnTo>
                    <a:pt x="689126" y="193213"/>
                  </a:lnTo>
                  <a:lnTo>
                    <a:pt x="728378" y="182965"/>
                  </a:lnTo>
                  <a:lnTo>
                    <a:pt x="796595" y="202354"/>
                  </a:lnTo>
                  <a:lnTo>
                    <a:pt x="809098" y="221821"/>
                  </a:lnTo>
                  <a:lnTo>
                    <a:pt x="825084" y="220714"/>
                  </a:lnTo>
                  <a:lnTo>
                    <a:pt x="823976" y="245563"/>
                  </a:lnTo>
                  <a:lnTo>
                    <a:pt x="806249" y="344840"/>
                  </a:lnTo>
                  <a:lnTo>
                    <a:pt x="808307" y="376139"/>
                  </a:lnTo>
                  <a:lnTo>
                    <a:pt x="811472" y="435333"/>
                  </a:lnTo>
                  <a:lnTo>
                    <a:pt x="812580" y="450528"/>
                  </a:lnTo>
                  <a:lnTo>
                    <a:pt x="802451" y="453100"/>
                  </a:lnTo>
                  <a:lnTo>
                    <a:pt x="793904" y="445028"/>
                  </a:lnTo>
                  <a:lnTo>
                    <a:pt x="769688" y="444157"/>
                  </a:lnTo>
                  <a:lnTo>
                    <a:pt x="738350" y="454762"/>
                  </a:lnTo>
                  <a:lnTo>
                    <a:pt x="742307" y="469085"/>
                  </a:lnTo>
                  <a:lnTo>
                    <a:pt x="757343" y="477870"/>
                  </a:lnTo>
                  <a:lnTo>
                    <a:pt x="786623" y="508614"/>
                  </a:lnTo>
                  <a:lnTo>
                    <a:pt x="801185" y="532672"/>
                  </a:lnTo>
                  <a:lnTo>
                    <a:pt x="933818" y="682677"/>
                  </a:lnTo>
                </a:path>
              </a:pathLst>
            </a:custGeom>
            <a:solidFill>
              <a:srgbClr val="FFFFFF"/>
            </a:solidFill>
            <a:ln w="5132" cap="flat">
              <a:solidFill>
                <a:srgbClr val="030000"/>
              </a:solidFill>
              <a:prstDash val="solid"/>
              <a:miter/>
            </a:ln>
          </xdr:spPr>
          <xdr:txBody>
            <a:bodyPr rtlCol="0" anchor="ctr"/>
            <a:lstStyle/>
            <a:p>
              <a:endParaRPr lang="en-US"/>
            </a:p>
          </xdr:txBody>
        </xdr:sp>
        <xdr:sp macro="" textlink="">
          <xdr:nvSpPr>
            <xdr:cNvPr id="104" name="31_1">
              <a:extLst>
                <a:ext uri="{FF2B5EF4-FFF2-40B4-BE49-F238E27FC236}">
                  <a16:creationId xmlns:a16="http://schemas.microsoft.com/office/drawing/2014/main" id="{366DA22A-3B89-7A45-B52A-7E81498D6A38}"/>
                </a:ext>
              </a:extLst>
            </xdr:cNvPr>
            <xdr:cNvSpPr/>
          </xdr:nvSpPr>
          <xdr:spPr>
            <a:xfrm>
              <a:off x="4083355" y="5111869"/>
              <a:ext cx="676275" cy="549275"/>
            </a:xfrm>
            <a:custGeom>
              <a:avLst/>
              <a:gdLst>
                <a:gd name="connsiteX0" fmla="*/ 86734 w 676275"/>
                <a:gd name="connsiteY0" fmla="*/ 63666 h 523875"/>
                <a:gd name="connsiteX1" fmla="*/ 86734 w 676275"/>
                <a:gd name="connsiteY1" fmla="*/ 63666 h 523875"/>
                <a:gd name="connsiteX2" fmla="*/ 100979 w 676275"/>
                <a:gd name="connsiteY2" fmla="*/ 58838 h 523875"/>
                <a:gd name="connsiteX3" fmla="*/ 131051 w 676275"/>
                <a:gd name="connsiteY3" fmla="*/ 70155 h 523875"/>
                <a:gd name="connsiteX4" fmla="*/ 145929 w 676275"/>
                <a:gd name="connsiteY4" fmla="*/ 74468 h 523875"/>
                <a:gd name="connsiteX5" fmla="*/ 170936 w 676275"/>
                <a:gd name="connsiteY5" fmla="*/ 70155 h 523875"/>
                <a:gd name="connsiteX6" fmla="*/ 176634 w 676275"/>
                <a:gd name="connsiteY6" fmla="*/ 61529 h 523875"/>
                <a:gd name="connsiteX7" fmla="*/ 211929 w 676275"/>
                <a:gd name="connsiteY7" fmla="*/ 58838 h 523875"/>
                <a:gd name="connsiteX8" fmla="*/ 262577 w 676275"/>
                <a:gd name="connsiteY8" fmla="*/ 56662 h 523875"/>
                <a:gd name="connsiteX9" fmla="*/ 302620 w 676275"/>
                <a:gd name="connsiteY9" fmla="*/ 50450 h 523875"/>
                <a:gd name="connsiteX10" fmla="*/ 346462 w 676275"/>
                <a:gd name="connsiteY10" fmla="*/ 34266 h 523875"/>
                <a:gd name="connsiteX11" fmla="*/ 414520 w 676275"/>
                <a:gd name="connsiteY11" fmla="*/ 15115 h 523875"/>
                <a:gd name="connsiteX12" fmla="*/ 419585 w 676275"/>
                <a:gd name="connsiteY12" fmla="*/ 10248 h 523875"/>
                <a:gd name="connsiteX13" fmla="*/ 424175 w 676275"/>
                <a:gd name="connsiteY13" fmla="*/ 0 h 523875"/>
                <a:gd name="connsiteX14" fmla="*/ 429240 w 676275"/>
                <a:gd name="connsiteY14" fmla="*/ 1108 h 523875"/>
                <a:gd name="connsiteX15" fmla="*/ 432722 w 676275"/>
                <a:gd name="connsiteY15" fmla="*/ 15630 h 523875"/>
                <a:gd name="connsiteX16" fmla="*/ 432722 w 676275"/>
                <a:gd name="connsiteY16" fmla="*/ 46928 h 523875"/>
                <a:gd name="connsiteX17" fmla="*/ 471341 w 676275"/>
                <a:gd name="connsiteY17" fmla="*/ 57731 h 523875"/>
                <a:gd name="connsiteX18" fmla="*/ 507744 w 676275"/>
                <a:gd name="connsiteY18" fmla="*/ 70155 h 523875"/>
                <a:gd name="connsiteX19" fmla="*/ 592579 w 676275"/>
                <a:gd name="connsiteY19" fmla="*/ 111702 h 523875"/>
                <a:gd name="connsiteX20" fmla="*/ 599385 w 676275"/>
                <a:gd name="connsiteY20" fmla="*/ 112256 h 523875"/>
                <a:gd name="connsiteX21" fmla="*/ 611414 w 676275"/>
                <a:gd name="connsiteY21" fmla="*/ 114947 h 523875"/>
                <a:gd name="connsiteX22" fmla="*/ 654623 w 676275"/>
                <a:gd name="connsiteY22" fmla="*/ 118745 h 523875"/>
                <a:gd name="connsiteX23" fmla="*/ 662536 w 676275"/>
                <a:gd name="connsiteY23" fmla="*/ 121436 h 523875"/>
                <a:gd name="connsiteX24" fmla="*/ 650666 w 676275"/>
                <a:gd name="connsiteY24" fmla="*/ 143555 h 523875"/>
                <a:gd name="connsiteX25" fmla="*/ 683112 w 676275"/>
                <a:gd name="connsiteY25" fmla="*/ 158116 h 523875"/>
                <a:gd name="connsiteX26" fmla="*/ 629615 w 676275"/>
                <a:gd name="connsiteY26" fmla="*/ 271994 h 523875"/>
                <a:gd name="connsiteX27" fmla="*/ 592579 w 676275"/>
                <a:gd name="connsiteY27" fmla="*/ 305984 h 523875"/>
                <a:gd name="connsiteX28" fmla="*/ 558392 w 676275"/>
                <a:gd name="connsiteY28" fmla="*/ 313027 h 523875"/>
                <a:gd name="connsiteX29" fmla="*/ 508377 w 676275"/>
                <a:gd name="connsiteY29" fmla="*/ 309782 h 523875"/>
                <a:gd name="connsiteX30" fmla="*/ 468492 w 676275"/>
                <a:gd name="connsiteY30" fmla="*/ 314095 h 523875"/>
                <a:gd name="connsiteX31" fmla="*/ 453139 w 676275"/>
                <a:gd name="connsiteY31" fmla="*/ 321099 h 523875"/>
                <a:gd name="connsiteX32" fmla="*/ 438420 w 676275"/>
                <a:gd name="connsiteY32" fmla="*/ 326520 h 523875"/>
                <a:gd name="connsiteX33" fmla="*/ 348520 w 676275"/>
                <a:gd name="connsiteY33" fmla="*/ 369689 h 523875"/>
                <a:gd name="connsiteX34" fmla="*/ 255771 w 676275"/>
                <a:gd name="connsiteY34" fmla="*/ 414481 h 523875"/>
                <a:gd name="connsiteX35" fmla="*/ 214145 w 676275"/>
                <a:gd name="connsiteY35" fmla="*/ 480323 h 523875"/>
                <a:gd name="connsiteX36" fmla="*/ 195469 w 676275"/>
                <a:gd name="connsiteY36" fmla="*/ 525629 h 523875"/>
                <a:gd name="connsiteX37" fmla="*/ 62835 w 676275"/>
                <a:gd name="connsiteY37" fmla="*/ 375625 h 523875"/>
                <a:gd name="connsiteX38" fmla="*/ 48274 w 676275"/>
                <a:gd name="connsiteY38" fmla="*/ 351567 h 523875"/>
                <a:gd name="connsiteX39" fmla="*/ 18993 w 676275"/>
                <a:gd name="connsiteY39" fmla="*/ 320822 h 523875"/>
                <a:gd name="connsiteX40" fmla="*/ 3957 w 676275"/>
                <a:gd name="connsiteY40" fmla="*/ 312038 h 523875"/>
                <a:gd name="connsiteX41" fmla="*/ 0 w 676275"/>
                <a:gd name="connsiteY41" fmla="*/ 297714 h 523875"/>
                <a:gd name="connsiteX42" fmla="*/ 31338 w 676275"/>
                <a:gd name="connsiteY42" fmla="*/ 287110 h 523875"/>
                <a:gd name="connsiteX43" fmla="*/ 55554 w 676275"/>
                <a:gd name="connsiteY43" fmla="*/ 287980 h 523875"/>
                <a:gd name="connsiteX44" fmla="*/ 64101 w 676275"/>
                <a:gd name="connsiteY44" fmla="*/ 296052 h 523875"/>
                <a:gd name="connsiteX45" fmla="*/ 74231 w 676275"/>
                <a:gd name="connsiteY45" fmla="*/ 293480 h 523875"/>
                <a:gd name="connsiteX46" fmla="*/ 73123 w 676275"/>
                <a:gd name="connsiteY46" fmla="*/ 278286 h 523875"/>
                <a:gd name="connsiteX47" fmla="*/ 69957 w 676275"/>
                <a:gd name="connsiteY47" fmla="*/ 219091 h 523875"/>
                <a:gd name="connsiteX48" fmla="*/ 67900 w 676275"/>
                <a:gd name="connsiteY48" fmla="*/ 187792 h 523875"/>
                <a:gd name="connsiteX49" fmla="*/ 85626 w 676275"/>
                <a:gd name="connsiteY49" fmla="*/ 88515 h 523875"/>
                <a:gd name="connsiteX50" fmla="*/ 86734 w 676275"/>
                <a:gd name="connsiteY50" fmla="*/ 63666 h 5238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Lst>
              <a:rect l="l" t="t" r="r" b="b"/>
              <a:pathLst>
                <a:path w="676275" h="523875">
                  <a:moveTo>
                    <a:pt x="86734" y="63666"/>
                  </a:moveTo>
                  <a:lnTo>
                    <a:pt x="86734" y="63666"/>
                  </a:lnTo>
                  <a:lnTo>
                    <a:pt x="100979" y="58838"/>
                  </a:lnTo>
                  <a:lnTo>
                    <a:pt x="131051" y="70155"/>
                  </a:lnTo>
                  <a:lnTo>
                    <a:pt x="145929" y="74468"/>
                  </a:lnTo>
                  <a:lnTo>
                    <a:pt x="170936" y="70155"/>
                  </a:lnTo>
                  <a:lnTo>
                    <a:pt x="176634" y="61529"/>
                  </a:lnTo>
                  <a:lnTo>
                    <a:pt x="211929" y="58838"/>
                  </a:lnTo>
                  <a:lnTo>
                    <a:pt x="262577" y="56662"/>
                  </a:lnTo>
                  <a:lnTo>
                    <a:pt x="302620" y="50450"/>
                  </a:lnTo>
                  <a:lnTo>
                    <a:pt x="346462" y="34266"/>
                  </a:lnTo>
                  <a:lnTo>
                    <a:pt x="414520" y="15115"/>
                  </a:lnTo>
                  <a:lnTo>
                    <a:pt x="419585" y="10248"/>
                  </a:lnTo>
                  <a:lnTo>
                    <a:pt x="424175" y="0"/>
                  </a:lnTo>
                  <a:lnTo>
                    <a:pt x="429240" y="1108"/>
                  </a:lnTo>
                  <a:lnTo>
                    <a:pt x="432722" y="15630"/>
                  </a:lnTo>
                  <a:lnTo>
                    <a:pt x="432722" y="46928"/>
                  </a:lnTo>
                  <a:lnTo>
                    <a:pt x="471341" y="57731"/>
                  </a:lnTo>
                  <a:lnTo>
                    <a:pt x="507744" y="70155"/>
                  </a:lnTo>
                  <a:lnTo>
                    <a:pt x="592579" y="111702"/>
                  </a:lnTo>
                  <a:lnTo>
                    <a:pt x="599385" y="112256"/>
                  </a:lnTo>
                  <a:lnTo>
                    <a:pt x="611414" y="114947"/>
                  </a:lnTo>
                  <a:lnTo>
                    <a:pt x="654623" y="118745"/>
                  </a:lnTo>
                  <a:lnTo>
                    <a:pt x="662536" y="121436"/>
                  </a:lnTo>
                  <a:lnTo>
                    <a:pt x="650666" y="143555"/>
                  </a:lnTo>
                  <a:lnTo>
                    <a:pt x="683112" y="158116"/>
                  </a:lnTo>
                  <a:lnTo>
                    <a:pt x="629615" y="271994"/>
                  </a:lnTo>
                  <a:lnTo>
                    <a:pt x="592579" y="305984"/>
                  </a:lnTo>
                  <a:lnTo>
                    <a:pt x="558392" y="313027"/>
                  </a:lnTo>
                  <a:lnTo>
                    <a:pt x="508377" y="309782"/>
                  </a:lnTo>
                  <a:lnTo>
                    <a:pt x="468492" y="314095"/>
                  </a:lnTo>
                  <a:lnTo>
                    <a:pt x="453139" y="321099"/>
                  </a:lnTo>
                  <a:lnTo>
                    <a:pt x="438420" y="326520"/>
                  </a:lnTo>
                  <a:lnTo>
                    <a:pt x="348520" y="369689"/>
                  </a:lnTo>
                  <a:lnTo>
                    <a:pt x="255771" y="414481"/>
                  </a:lnTo>
                  <a:lnTo>
                    <a:pt x="214145" y="480323"/>
                  </a:lnTo>
                  <a:lnTo>
                    <a:pt x="195469" y="525629"/>
                  </a:lnTo>
                  <a:lnTo>
                    <a:pt x="62835" y="375625"/>
                  </a:lnTo>
                  <a:lnTo>
                    <a:pt x="48274" y="351567"/>
                  </a:lnTo>
                  <a:lnTo>
                    <a:pt x="18993" y="320822"/>
                  </a:lnTo>
                  <a:lnTo>
                    <a:pt x="3957" y="312038"/>
                  </a:lnTo>
                  <a:lnTo>
                    <a:pt x="0" y="297714"/>
                  </a:lnTo>
                  <a:lnTo>
                    <a:pt x="31338" y="287110"/>
                  </a:lnTo>
                  <a:lnTo>
                    <a:pt x="55554" y="287980"/>
                  </a:lnTo>
                  <a:lnTo>
                    <a:pt x="64101" y="296052"/>
                  </a:lnTo>
                  <a:lnTo>
                    <a:pt x="74231" y="293480"/>
                  </a:lnTo>
                  <a:lnTo>
                    <a:pt x="73123" y="278286"/>
                  </a:lnTo>
                  <a:lnTo>
                    <a:pt x="69957" y="219091"/>
                  </a:lnTo>
                  <a:lnTo>
                    <a:pt x="67900" y="187792"/>
                  </a:lnTo>
                  <a:lnTo>
                    <a:pt x="85626" y="88515"/>
                  </a:lnTo>
                  <a:lnTo>
                    <a:pt x="86734" y="63666"/>
                  </a:lnTo>
                </a:path>
              </a:pathLst>
            </a:custGeom>
            <a:solidFill>
              <a:srgbClr val="FFFFFF"/>
            </a:solidFill>
            <a:ln w="5132" cap="flat">
              <a:solidFill>
                <a:srgbClr val="030000"/>
              </a:solidFill>
              <a:prstDash val="solid"/>
              <a:miter/>
            </a:ln>
          </xdr:spPr>
          <xdr:txBody>
            <a:bodyPr rtlCol="0" anchor="ctr"/>
            <a:lstStyle/>
            <a:p>
              <a:endParaRPr lang="en-US"/>
            </a:p>
          </xdr:txBody>
        </xdr:sp>
        <xdr:sp macro="" textlink="">
          <xdr:nvSpPr>
            <xdr:cNvPr id="105" name="30_1">
              <a:extLst>
                <a:ext uri="{FF2B5EF4-FFF2-40B4-BE49-F238E27FC236}">
                  <a16:creationId xmlns:a16="http://schemas.microsoft.com/office/drawing/2014/main" id="{94560EA4-EC4E-B747-94C1-15E2008AE462}"/>
                </a:ext>
              </a:extLst>
            </xdr:cNvPr>
            <xdr:cNvSpPr/>
          </xdr:nvSpPr>
          <xdr:spPr>
            <a:xfrm>
              <a:off x="4766467" y="4874616"/>
              <a:ext cx="595841" cy="445559"/>
            </a:xfrm>
            <a:custGeom>
              <a:avLst/>
              <a:gdLst>
                <a:gd name="connsiteX0" fmla="*/ 484161 w 600075"/>
                <a:gd name="connsiteY0" fmla="*/ 200731 h 428625"/>
                <a:gd name="connsiteX1" fmla="*/ 484161 w 600075"/>
                <a:gd name="connsiteY1" fmla="*/ 200731 h 428625"/>
                <a:gd name="connsiteX2" fmla="*/ 460895 w 600075"/>
                <a:gd name="connsiteY2" fmla="*/ 199663 h 428625"/>
                <a:gd name="connsiteX3" fmla="*/ 451240 w 600075"/>
                <a:gd name="connsiteY3" fmla="*/ 214185 h 428625"/>
                <a:gd name="connsiteX4" fmla="*/ 440952 w 600075"/>
                <a:gd name="connsiteY4" fmla="*/ 221742 h 428625"/>
                <a:gd name="connsiteX5" fmla="*/ 430190 w 600075"/>
                <a:gd name="connsiteY5" fmla="*/ 226609 h 428625"/>
                <a:gd name="connsiteX6" fmla="*/ 417686 w 600075"/>
                <a:gd name="connsiteY6" fmla="*/ 234167 h 428625"/>
                <a:gd name="connsiteX7" fmla="*/ 411988 w 600075"/>
                <a:gd name="connsiteY7" fmla="*/ 244969 h 428625"/>
                <a:gd name="connsiteX8" fmla="*/ 401700 w 600075"/>
                <a:gd name="connsiteY8" fmla="*/ 246591 h 428625"/>
                <a:gd name="connsiteX9" fmla="*/ 393153 w 600075"/>
                <a:gd name="connsiteY9" fmla="*/ 253595 h 428625"/>
                <a:gd name="connsiteX10" fmla="*/ 387456 w 600075"/>
                <a:gd name="connsiteY10" fmla="*/ 268156 h 428625"/>
                <a:gd name="connsiteX11" fmla="*/ 379542 w 600075"/>
                <a:gd name="connsiteY11" fmla="*/ 273577 h 428625"/>
                <a:gd name="connsiteX12" fmla="*/ 362448 w 600075"/>
                <a:gd name="connsiteY12" fmla="*/ 291383 h 428625"/>
                <a:gd name="connsiteX13" fmla="*/ 352160 w 600075"/>
                <a:gd name="connsiteY13" fmla="*/ 306498 h 428625"/>
                <a:gd name="connsiteX14" fmla="*/ 343139 w 600075"/>
                <a:gd name="connsiteY14" fmla="*/ 309189 h 428625"/>
                <a:gd name="connsiteX15" fmla="*/ 342506 w 600075"/>
                <a:gd name="connsiteY15" fmla="*/ 352358 h 428625"/>
                <a:gd name="connsiteX16" fmla="*/ 332851 w 600075"/>
                <a:gd name="connsiteY16" fmla="*/ 378790 h 428625"/>
                <a:gd name="connsiteX17" fmla="*/ 331743 w 600075"/>
                <a:gd name="connsiteY17" fmla="*/ 408466 h 428625"/>
                <a:gd name="connsiteX18" fmla="*/ 304362 w 600075"/>
                <a:gd name="connsiteY18" fmla="*/ 411197 h 428625"/>
                <a:gd name="connsiteX19" fmla="*/ 292491 w 600075"/>
                <a:gd name="connsiteY19" fmla="*/ 408466 h 428625"/>
                <a:gd name="connsiteX20" fmla="*/ 273656 w 600075"/>
                <a:gd name="connsiteY20" fmla="*/ 408466 h 428625"/>
                <a:gd name="connsiteX21" fmla="*/ 268592 w 600075"/>
                <a:gd name="connsiteY21" fmla="*/ 411711 h 428625"/>
                <a:gd name="connsiteX22" fmla="*/ 226491 w 600075"/>
                <a:gd name="connsiteY22" fmla="*/ 393391 h 428625"/>
                <a:gd name="connsiteX23" fmla="*/ 207023 w 600075"/>
                <a:gd name="connsiteY23" fmla="*/ 397704 h 428625"/>
                <a:gd name="connsiteX24" fmla="*/ 192303 w 600075"/>
                <a:gd name="connsiteY24" fmla="*/ 403639 h 428625"/>
                <a:gd name="connsiteX25" fmla="*/ 166663 w 600075"/>
                <a:gd name="connsiteY25" fmla="*/ 404707 h 428625"/>
                <a:gd name="connsiteX26" fmla="*/ 156375 w 600075"/>
                <a:gd name="connsiteY26" fmla="*/ 410643 h 428625"/>
                <a:gd name="connsiteX27" fmla="*/ 140548 w 600075"/>
                <a:gd name="connsiteY27" fmla="*/ 412265 h 428625"/>
                <a:gd name="connsiteX28" fmla="*/ 119497 w 600075"/>
                <a:gd name="connsiteY28" fmla="*/ 421445 h 428625"/>
                <a:gd name="connsiteX29" fmla="*/ 97339 w 600075"/>
                <a:gd name="connsiteY29" fmla="*/ 433869 h 428625"/>
                <a:gd name="connsiteX30" fmla="*/ 89267 w 600075"/>
                <a:gd name="connsiteY30" fmla="*/ 433869 h 428625"/>
                <a:gd name="connsiteX31" fmla="*/ 72806 w 600075"/>
                <a:gd name="connsiteY31" fmla="*/ 422553 h 428625"/>
                <a:gd name="connsiteX32" fmla="*/ 38619 w 600075"/>
                <a:gd name="connsiteY32" fmla="*/ 405815 h 428625"/>
                <a:gd name="connsiteX33" fmla="*/ 0 w 600075"/>
                <a:gd name="connsiteY33" fmla="*/ 386902 h 428625"/>
                <a:gd name="connsiteX34" fmla="*/ 82461 w 600075"/>
                <a:gd name="connsiteY34" fmla="*/ 260084 h 428625"/>
                <a:gd name="connsiteX35" fmla="*/ 129627 w 600075"/>
                <a:gd name="connsiteY35" fmla="*/ 192620 h 428625"/>
                <a:gd name="connsiteX36" fmla="*/ 155900 w 600075"/>
                <a:gd name="connsiteY36" fmla="*/ 171055 h 428625"/>
                <a:gd name="connsiteX37" fmla="*/ 192936 w 600075"/>
                <a:gd name="connsiteY37" fmla="*/ 138688 h 428625"/>
                <a:gd name="connsiteX38" fmla="*/ 213354 w 600075"/>
                <a:gd name="connsiteY38" fmla="*/ 115461 h 428625"/>
                <a:gd name="connsiteX39" fmla="*/ 237253 w 600075"/>
                <a:gd name="connsiteY39" fmla="*/ 54486 h 428625"/>
                <a:gd name="connsiteX40" fmla="*/ 261153 w 600075"/>
                <a:gd name="connsiteY40" fmla="*/ 55831 h 428625"/>
                <a:gd name="connsiteX41" fmla="*/ 300405 w 600075"/>
                <a:gd name="connsiteY41" fmla="*/ 55317 h 428625"/>
                <a:gd name="connsiteX42" fmla="*/ 330635 w 600075"/>
                <a:gd name="connsiteY42" fmla="*/ 54763 h 428625"/>
                <a:gd name="connsiteX43" fmla="*/ 365297 w 600075"/>
                <a:gd name="connsiteY43" fmla="*/ 55000 h 428625"/>
                <a:gd name="connsiteX44" fmla="*/ 365614 w 600075"/>
                <a:gd name="connsiteY44" fmla="*/ 29914 h 428625"/>
                <a:gd name="connsiteX45" fmla="*/ 375585 w 600075"/>
                <a:gd name="connsiteY45" fmla="*/ 31536 h 428625"/>
                <a:gd name="connsiteX46" fmla="*/ 384132 w 600075"/>
                <a:gd name="connsiteY46" fmla="*/ 35058 h 428625"/>
                <a:gd name="connsiteX47" fmla="*/ 392045 w 600075"/>
                <a:gd name="connsiteY47" fmla="*/ 28569 h 428625"/>
                <a:gd name="connsiteX48" fmla="*/ 394894 w 600075"/>
                <a:gd name="connsiteY48" fmla="*/ 16698 h 428625"/>
                <a:gd name="connsiteX49" fmla="*/ 410880 w 600075"/>
                <a:gd name="connsiteY49" fmla="*/ 13493 h 428625"/>
                <a:gd name="connsiteX50" fmla="*/ 421643 w 600075"/>
                <a:gd name="connsiteY50" fmla="*/ 8586 h 428625"/>
                <a:gd name="connsiteX51" fmla="*/ 456305 w 600075"/>
                <a:gd name="connsiteY51" fmla="*/ 6964 h 428625"/>
                <a:gd name="connsiteX52" fmla="*/ 464852 w 600075"/>
                <a:gd name="connsiteY52" fmla="*/ 0 h 428625"/>
                <a:gd name="connsiteX53" fmla="*/ 469916 w 600075"/>
                <a:gd name="connsiteY53" fmla="*/ 50173 h 428625"/>
                <a:gd name="connsiteX54" fmla="*/ 499039 w 600075"/>
                <a:gd name="connsiteY54" fmla="*/ 47482 h 428625"/>
                <a:gd name="connsiteX55" fmla="*/ 516133 w 600075"/>
                <a:gd name="connsiteY55" fmla="*/ 49619 h 428625"/>
                <a:gd name="connsiteX56" fmla="*/ 554118 w 600075"/>
                <a:gd name="connsiteY56" fmla="*/ 62044 h 428625"/>
                <a:gd name="connsiteX57" fmla="*/ 601442 w 600075"/>
                <a:gd name="connsiteY57" fmla="*/ 93342 h 428625"/>
                <a:gd name="connsiteX58" fmla="*/ 589414 w 600075"/>
                <a:gd name="connsiteY58" fmla="*/ 121950 h 428625"/>
                <a:gd name="connsiteX59" fmla="*/ 577068 w 600075"/>
                <a:gd name="connsiteY59" fmla="*/ 129271 h 428625"/>
                <a:gd name="connsiteX60" fmla="*/ 575802 w 600075"/>
                <a:gd name="connsiteY60" fmla="*/ 142447 h 428625"/>
                <a:gd name="connsiteX61" fmla="*/ 575327 w 600075"/>
                <a:gd name="connsiteY61" fmla="*/ 148897 h 428625"/>
                <a:gd name="connsiteX62" fmla="*/ 568205 w 600075"/>
                <a:gd name="connsiteY62" fmla="*/ 176159 h 428625"/>
                <a:gd name="connsiteX63" fmla="*/ 562507 w 600075"/>
                <a:gd name="connsiteY63" fmla="*/ 184271 h 428625"/>
                <a:gd name="connsiteX64" fmla="*/ 518665 w 600075"/>
                <a:gd name="connsiteY64" fmla="*/ 159976 h 428625"/>
                <a:gd name="connsiteX65" fmla="*/ 484161 w 600075"/>
                <a:gd name="connsiteY65" fmla="*/ 200731 h 4286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Lst>
              <a:rect l="l" t="t" r="r" b="b"/>
              <a:pathLst>
                <a:path w="600075" h="428625">
                  <a:moveTo>
                    <a:pt x="484161" y="200731"/>
                  </a:moveTo>
                  <a:lnTo>
                    <a:pt x="484161" y="200731"/>
                  </a:lnTo>
                  <a:lnTo>
                    <a:pt x="460895" y="199663"/>
                  </a:lnTo>
                  <a:lnTo>
                    <a:pt x="451240" y="214185"/>
                  </a:lnTo>
                  <a:lnTo>
                    <a:pt x="440952" y="221742"/>
                  </a:lnTo>
                  <a:lnTo>
                    <a:pt x="430190" y="226609"/>
                  </a:lnTo>
                  <a:lnTo>
                    <a:pt x="417686" y="234167"/>
                  </a:lnTo>
                  <a:lnTo>
                    <a:pt x="411988" y="244969"/>
                  </a:lnTo>
                  <a:lnTo>
                    <a:pt x="401700" y="246591"/>
                  </a:lnTo>
                  <a:lnTo>
                    <a:pt x="393153" y="253595"/>
                  </a:lnTo>
                  <a:lnTo>
                    <a:pt x="387456" y="268156"/>
                  </a:lnTo>
                  <a:lnTo>
                    <a:pt x="379542" y="273577"/>
                  </a:lnTo>
                  <a:lnTo>
                    <a:pt x="362448" y="291383"/>
                  </a:lnTo>
                  <a:lnTo>
                    <a:pt x="352160" y="306498"/>
                  </a:lnTo>
                  <a:lnTo>
                    <a:pt x="343139" y="309189"/>
                  </a:lnTo>
                  <a:lnTo>
                    <a:pt x="342506" y="352358"/>
                  </a:lnTo>
                  <a:lnTo>
                    <a:pt x="332851" y="378790"/>
                  </a:lnTo>
                  <a:lnTo>
                    <a:pt x="331743" y="408466"/>
                  </a:lnTo>
                  <a:lnTo>
                    <a:pt x="304362" y="411197"/>
                  </a:lnTo>
                  <a:lnTo>
                    <a:pt x="292491" y="408466"/>
                  </a:lnTo>
                  <a:lnTo>
                    <a:pt x="273656" y="408466"/>
                  </a:lnTo>
                  <a:lnTo>
                    <a:pt x="268592" y="411711"/>
                  </a:lnTo>
                  <a:lnTo>
                    <a:pt x="226491" y="393391"/>
                  </a:lnTo>
                  <a:lnTo>
                    <a:pt x="207023" y="397704"/>
                  </a:lnTo>
                  <a:lnTo>
                    <a:pt x="192303" y="403639"/>
                  </a:lnTo>
                  <a:lnTo>
                    <a:pt x="166663" y="404707"/>
                  </a:lnTo>
                  <a:lnTo>
                    <a:pt x="156375" y="410643"/>
                  </a:lnTo>
                  <a:lnTo>
                    <a:pt x="140548" y="412265"/>
                  </a:lnTo>
                  <a:lnTo>
                    <a:pt x="119497" y="421445"/>
                  </a:lnTo>
                  <a:lnTo>
                    <a:pt x="97339" y="433869"/>
                  </a:lnTo>
                  <a:lnTo>
                    <a:pt x="89267" y="433869"/>
                  </a:lnTo>
                  <a:lnTo>
                    <a:pt x="72806" y="422553"/>
                  </a:lnTo>
                  <a:lnTo>
                    <a:pt x="38619" y="405815"/>
                  </a:lnTo>
                  <a:lnTo>
                    <a:pt x="0" y="386902"/>
                  </a:lnTo>
                  <a:lnTo>
                    <a:pt x="82461" y="260084"/>
                  </a:lnTo>
                  <a:lnTo>
                    <a:pt x="129627" y="192620"/>
                  </a:lnTo>
                  <a:lnTo>
                    <a:pt x="155900" y="171055"/>
                  </a:lnTo>
                  <a:lnTo>
                    <a:pt x="192936" y="138688"/>
                  </a:lnTo>
                  <a:lnTo>
                    <a:pt x="213354" y="115461"/>
                  </a:lnTo>
                  <a:lnTo>
                    <a:pt x="237253" y="54486"/>
                  </a:lnTo>
                  <a:lnTo>
                    <a:pt x="261153" y="55831"/>
                  </a:lnTo>
                  <a:lnTo>
                    <a:pt x="300405" y="55317"/>
                  </a:lnTo>
                  <a:lnTo>
                    <a:pt x="330635" y="54763"/>
                  </a:lnTo>
                  <a:lnTo>
                    <a:pt x="365297" y="55000"/>
                  </a:lnTo>
                  <a:lnTo>
                    <a:pt x="365614" y="29914"/>
                  </a:lnTo>
                  <a:lnTo>
                    <a:pt x="375585" y="31536"/>
                  </a:lnTo>
                  <a:lnTo>
                    <a:pt x="384132" y="35058"/>
                  </a:lnTo>
                  <a:lnTo>
                    <a:pt x="392045" y="28569"/>
                  </a:lnTo>
                  <a:lnTo>
                    <a:pt x="394894" y="16698"/>
                  </a:lnTo>
                  <a:lnTo>
                    <a:pt x="410880" y="13493"/>
                  </a:lnTo>
                  <a:lnTo>
                    <a:pt x="421643" y="8586"/>
                  </a:lnTo>
                  <a:lnTo>
                    <a:pt x="456305" y="6964"/>
                  </a:lnTo>
                  <a:lnTo>
                    <a:pt x="464852" y="0"/>
                  </a:lnTo>
                  <a:lnTo>
                    <a:pt x="469916" y="50173"/>
                  </a:lnTo>
                  <a:lnTo>
                    <a:pt x="499039" y="47482"/>
                  </a:lnTo>
                  <a:lnTo>
                    <a:pt x="516133" y="49619"/>
                  </a:lnTo>
                  <a:lnTo>
                    <a:pt x="554118" y="62044"/>
                  </a:lnTo>
                  <a:lnTo>
                    <a:pt x="601442" y="93342"/>
                  </a:lnTo>
                  <a:lnTo>
                    <a:pt x="589414" y="121950"/>
                  </a:lnTo>
                  <a:lnTo>
                    <a:pt x="577068" y="129271"/>
                  </a:lnTo>
                  <a:lnTo>
                    <a:pt x="575802" y="142447"/>
                  </a:lnTo>
                  <a:lnTo>
                    <a:pt x="575327" y="148897"/>
                  </a:lnTo>
                  <a:lnTo>
                    <a:pt x="568205" y="176159"/>
                  </a:lnTo>
                  <a:lnTo>
                    <a:pt x="562507" y="184271"/>
                  </a:lnTo>
                  <a:lnTo>
                    <a:pt x="518665" y="159976"/>
                  </a:lnTo>
                  <a:lnTo>
                    <a:pt x="484161" y="200731"/>
                  </a:lnTo>
                </a:path>
              </a:pathLst>
            </a:custGeom>
            <a:solidFill>
              <a:srgbClr val="FFFFFF"/>
            </a:solidFill>
            <a:ln w="5132" cap="flat">
              <a:solidFill>
                <a:srgbClr val="030000"/>
              </a:solidFill>
              <a:prstDash val="solid"/>
              <a:miter/>
            </a:ln>
          </xdr:spPr>
          <xdr:txBody>
            <a:bodyPr rtlCol="0" anchor="ctr"/>
            <a:lstStyle/>
            <a:p>
              <a:endParaRPr lang="en-US"/>
            </a:p>
          </xdr:txBody>
        </xdr:sp>
        <xdr:sp macro="" textlink="">
          <xdr:nvSpPr>
            <xdr:cNvPr id="106" name="29_1">
              <a:extLst>
                <a:ext uri="{FF2B5EF4-FFF2-40B4-BE49-F238E27FC236}">
                  <a16:creationId xmlns:a16="http://schemas.microsoft.com/office/drawing/2014/main" id="{D49B3EA5-73CE-A347-B6D0-A365F0CB0227}"/>
                </a:ext>
              </a:extLst>
            </xdr:cNvPr>
            <xdr:cNvSpPr/>
          </xdr:nvSpPr>
          <xdr:spPr>
            <a:xfrm>
              <a:off x="4992681" y="4574926"/>
              <a:ext cx="581025" cy="587375"/>
            </a:xfrm>
            <a:custGeom>
              <a:avLst/>
              <a:gdLst>
                <a:gd name="connsiteX0" fmla="*/ 6806 w 581025"/>
                <a:gd name="connsiteY0" fmla="*/ 337243 h 561975"/>
                <a:gd name="connsiteX1" fmla="*/ 6806 w 581025"/>
                <a:gd name="connsiteY1" fmla="*/ 337243 h 561975"/>
                <a:gd name="connsiteX2" fmla="*/ 6806 w 581025"/>
                <a:gd name="connsiteY2" fmla="*/ 274646 h 561975"/>
                <a:gd name="connsiteX3" fmla="*/ 3640 w 581025"/>
                <a:gd name="connsiteY3" fmla="*/ 259135 h 561975"/>
                <a:gd name="connsiteX4" fmla="*/ 0 w 581025"/>
                <a:gd name="connsiteY4" fmla="*/ 241724 h 561975"/>
                <a:gd name="connsiteX5" fmla="*/ 0 w 581025"/>
                <a:gd name="connsiteY5" fmla="*/ 198555 h 561975"/>
                <a:gd name="connsiteX6" fmla="*/ 16461 w 581025"/>
                <a:gd name="connsiteY6" fmla="*/ 168879 h 561975"/>
                <a:gd name="connsiteX7" fmla="*/ 29597 w 581025"/>
                <a:gd name="connsiteY7" fmla="*/ 157008 h 561975"/>
                <a:gd name="connsiteX8" fmla="*/ 45583 w 581025"/>
                <a:gd name="connsiteY8" fmla="*/ 138648 h 561975"/>
                <a:gd name="connsiteX9" fmla="*/ 72173 w 581025"/>
                <a:gd name="connsiteY9" fmla="*/ 112216 h 561975"/>
                <a:gd name="connsiteX10" fmla="*/ 89267 w 581025"/>
                <a:gd name="connsiteY10" fmla="*/ 96033 h 561975"/>
                <a:gd name="connsiteX11" fmla="*/ 117756 w 581025"/>
                <a:gd name="connsiteY11" fmla="*/ 56108 h 561975"/>
                <a:gd name="connsiteX12" fmla="*/ 170145 w 581025"/>
                <a:gd name="connsiteY12" fmla="*/ 0 h 561975"/>
                <a:gd name="connsiteX13" fmla="*/ 182649 w 581025"/>
                <a:gd name="connsiteY13" fmla="*/ 19389 h 561975"/>
                <a:gd name="connsiteX14" fmla="*/ 191670 w 581025"/>
                <a:gd name="connsiteY14" fmla="*/ 25878 h 561975"/>
                <a:gd name="connsiteX15" fmla="*/ 196260 w 581025"/>
                <a:gd name="connsiteY15" fmla="*/ 41507 h 561975"/>
                <a:gd name="connsiteX16" fmla="*/ 221267 w 581025"/>
                <a:gd name="connsiteY16" fmla="*/ 57177 h 561975"/>
                <a:gd name="connsiteX17" fmla="*/ 249757 w 581025"/>
                <a:gd name="connsiteY17" fmla="*/ 81986 h 561975"/>
                <a:gd name="connsiteX18" fmla="*/ 283311 w 581025"/>
                <a:gd name="connsiteY18" fmla="*/ 105173 h 561975"/>
                <a:gd name="connsiteX19" fmla="*/ 291858 w 581025"/>
                <a:gd name="connsiteY19" fmla="*/ 114353 h 561975"/>
                <a:gd name="connsiteX20" fmla="*/ 337916 w 581025"/>
                <a:gd name="connsiteY20" fmla="*/ 135443 h 561975"/>
                <a:gd name="connsiteX21" fmla="*/ 381283 w 581025"/>
                <a:gd name="connsiteY21" fmla="*/ 165080 h 561975"/>
                <a:gd name="connsiteX22" fmla="*/ 446650 w 581025"/>
                <a:gd name="connsiteY22" fmla="*/ 214739 h 561975"/>
                <a:gd name="connsiteX23" fmla="*/ 504737 w 581025"/>
                <a:gd name="connsiteY23" fmla="*/ 263843 h 561975"/>
                <a:gd name="connsiteX24" fmla="*/ 583874 w 581025"/>
                <a:gd name="connsiteY24" fmla="*/ 338311 h 561975"/>
                <a:gd name="connsiteX25" fmla="*/ 582449 w 581025"/>
                <a:gd name="connsiteY25" fmla="*/ 346977 h 561975"/>
                <a:gd name="connsiteX26" fmla="*/ 567888 w 581025"/>
                <a:gd name="connsiteY26" fmla="*/ 445186 h 561975"/>
                <a:gd name="connsiteX27" fmla="*/ 562823 w 581025"/>
                <a:gd name="connsiteY27" fmla="*/ 563892 h 561975"/>
                <a:gd name="connsiteX28" fmla="*/ 466593 w 581025"/>
                <a:gd name="connsiteY28" fmla="*/ 562269 h 561975"/>
                <a:gd name="connsiteX29" fmla="*/ 407398 w 581025"/>
                <a:gd name="connsiteY29" fmla="*/ 558471 h 561975"/>
                <a:gd name="connsiteX30" fmla="*/ 330002 w 581025"/>
                <a:gd name="connsiteY30" fmla="*/ 557957 h 561975"/>
                <a:gd name="connsiteX31" fmla="*/ 281412 w 581025"/>
                <a:gd name="connsiteY31" fmla="*/ 557680 h 561975"/>
                <a:gd name="connsiteX32" fmla="*/ 274289 w 581025"/>
                <a:gd name="connsiteY32" fmla="*/ 546640 h 561975"/>
                <a:gd name="connsiteX33" fmla="*/ 266850 w 581025"/>
                <a:gd name="connsiteY33" fmla="*/ 530417 h 561975"/>
                <a:gd name="connsiteX34" fmla="*/ 258937 w 581025"/>
                <a:gd name="connsiteY34" fmla="*/ 509920 h 561975"/>
                <a:gd name="connsiteX35" fmla="*/ 253714 w 581025"/>
                <a:gd name="connsiteY35" fmla="*/ 483488 h 561975"/>
                <a:gd name="connsiteX36" fmla="*/ 288218 w 581025"/>
                <a:gd name="connsiteY36" fmla="*/ 442733 h 561975"/>
                <a:gd name="connsiteX37" fmla="*/ 332060 w 581025"/>
                <a:gd name="connsiteY37" fmla="*/ 467028 h 561975"/>
                <a:gd name="connsiteX38" fmla="*/ 337757 w 581025"/>
                <a:gd name="connsiteY38" fmla="*/ 458916 h 561975"/>
                <a:gd name="connsiteX39" fmla="*/ 344880 w 581025"/>
                <a:gd name="connsiteY39" fmla="*/ 431654 h 561975"/>
                <a:gd name="connsiteX40" fmla="*/ 345355 w 581025"/>
                <a:gd name="connsiteY40" fmla="*/ 425204 h 561975"/>
                <a:gd name="connsiteX41" fmla="*/ 346621 w 581025"/>
                <a:gd name="connsiteY41" fmla="*/ 412028 h 561975"/>
                <a:gd name="connsiteX42" fmla="*/ 358966 w 581025"/>
                <a:gd name="connsiteY42" fmla="*/ 404707 h 561975"/>
                <a:gd name="connsiteX43" fmla="*/ 370995 w 581025"/>
                <a:gd name="connsiteY43" fmla="*/ 376099 h 561975"/>
                <a:gd name="connsiteX44" fmla="*/ 323671 w 581025"/>
                <a:gd name="connsiteY44" fmla="*/ 344801 h 561975"/>
                <a:gd name="connsiteX45" fmla="*/ 285685 w 581025"/>
                <a:gd name="connsiteY45" fmla="*/ 332455 h 561975"/>
                <a:gd name="connsiteX46" fmla="*/ 268592 w 581025"/>
                <a:gd name="connsiteY46" fmla="*/ 330239 h 561975"/>
                <a:gd name="connsiteX47" fmla="*/ 239469 w 581025"/>
                <a:gd name="connsiteY47" fmla="*/ 332930 h 561975"/>
                <a:gd name="connsiteX48" fmla="*/ 234404 w 581025"/>
                <a:gd name="connsiteY48" fmla="*/ 282757 h 561975"/>
                <a:gd name="connsiteX49" fmla="*/ 225857 w 581025"/>
                <a:gd name="connsiteY49" fmla="*/ 289721 h 561975"/>
                <a:gd name="connsiteX50" fmla="*/ 191195 w 581025"/>
                <a:gd name="connsiteY50" fmla="*/ 291343 h 561975"/>
                <a:gd name="connsiteX51" fmla="*/ 180433 w 581025"/>
                <a:gd name="connsiteY51" fmla="*/ 296250 h 561975"/>
                <a:gd name="connsiteX52" fmla="*/ 164447 w 581025"/>
                <a:gd name="connsiteY52" fmla="*/ 299455 h 561975"/>
                <a:gd name="connsiteX53" fmla="*/ 161598 w 581025"/>
                <a:gd name="connsiteY53" fmla="*/ 311326 h 561975"/>
                <a:gd name="connsiteX54" fmla="*/ 153684 w 581025"/>
                <a:gd name="connsiteY54" fmla="*/ 317815 h 561975"/>
                <a:gd name="connsiteX55" fmla="*/ 145138 w 581025"/>
                <a:gd name="connsiteY55" fmla="*/ 314293 h 561975"/>
                <a:gd name="connsiteX56" fmla="*/ 135166 w 581025"/>
                <a:gd name="connsiteY56" fmla="*/ 312671 h 561975"/>
                <a:gd name="connsiteX57" fmla="*/ 134850 w 581025"/>
                <a:gd name="connsiteY57" fmla="*/ 337757 h 561975"/>
                <a:gd name="connsiteX58" fmla="*/ 100188 w 581025"/>
                <a:gd name="connsiteY58" fmla="*/ 337520 h 561975"/>
                <a:gd name="connsiteX59" fmla="*/ 69957 w 581025"/>
                <a:gd name="connsiteY59" fmla="*/ 338074 h 561975"/>
                <a:gd name="connsiteX60" fmla="*/ 30705 w 581025"/>
                <a:gd name="connsiteY60" fmla="*/ 338588 h 561975"/>
                <a:gd name="connsiteX61" fmla="*/ 6806 w 581025"/>
                <a:gd name="connsiteY61" fmla="*/ 337243 h 5619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Lst>
              <a:rect l="l" t="t" r="r" b="b"/>
              <a:pathLst>
                <a:path w="581025" h="561975">
                  <a:moveTo>
                    <a:pt x="6806" y="337243"/>
                  </a:moveTo>
                  <a:lnTo>
                    <a:pt x="6806" y="337243"/>
                  </a:lnTo>
                  <a:lnTo>
                    <a:pt x="6806" y="274646"/>
                  </a:lnTo>
                  <a:lnTo>
                    <a:pt x="3640" y="259135"/>
                  </a:lnTo>
                  <a:lnTo>
                    <a:pt x="0" y="241724"/>
                  </a:lnTo>
                  <a:lnTo>
                    <a:pt x="0" y="198555"/>
                  </a:lnTo>
                  <a:lnTo>
                    <a:pt x="16461" y="168879"/>
                  </a:lnTo>
                  <a:lnTo>
                    <a:pt x="29597" y="157008"/>
                  </a:lnTo>
                  <a:lnTo>
                    <a:pt x="45583" y="138648"/>
                  </a:lnTo>
                  <a:lnTo>
                    <a:pt x="72173" y="112216"/>
                  </a:lnTo>
                  <a:lnTo>
                    <a:pt x="89267" y="96033"/>
                  </a:lnTo>
                  <a:lnTo>
                    <a:pt x="117756" y="56108"/>
                  </a:lnTo>
                  <a:lnTo>
                    <a:pt x="170145" y="0"/>
                  </a:lnTo>
                  <a:lnTo>
                    <a:pt x="182649" y="19389"/>
                  </a:lnTo>
                  <a:lnTo>
                    <a:pt x="191670" y="25878"/>
                  </a:lnTo>
                  <a:lnTo>
                    <a:pt x="196260" y="41507"/>
                  </a:lnTo>
                  <a:lnTo>
                    <a:pt x="221267" y="57177"/>
                  </a:lnTo>
                  <a:lnTo>
                    <a:pt x="249757" y="81986"/>
                  </a:lnTo>
                  <a:lnTo>
                    <a:pt x="283311" y="105173"/>
                  </a:lnTo>
                  <a:lnTo>
                    <a:pt x="291858" y="114353"/>
                  </a:lnTo>
                  <a:lnTo>
                    <a:pt x="337916" y="135443"/>
                  </a:lnTo>
                  <a:lnTo>
                    <a:pt x="381283" y="165080"/>
                  </a:lnTo>
                  <a:lnTo>
                    <a:pt x="446650" y="214739"/>
                  </a:lnTo>
                  <a:lnTo>
                    <a:pt x="504737" y="263843"/>
                  </a:lnTo>
                  <a:lnTo>
                    <a:pt x="583874" y="338311"/>
                  </a:lnTo>
                  <a:lnTo>
                    <a:pt x="582449" y="346977"/>
                  </a:lnTo>
                  <a:lnTo>
                    <a:pt x="567888" y="445186"/>
                  </a:lnTo>
                  <a:lnTo>
                    <a:pt x="562823" y="563892"/>
                  </a:lnTo>
                  <a:lnTo>
                    <a:pt x="466593" y="562269"/>
                  </a:lnTo>
                  <a:lnTo>
                    <a:pt x="407398" y="558471"/>
                  </a:lnTo>
                  <a:lnTo>
                    <a:pt x="330002" y="557957"/>
                  </a:lnTo>
                  <a:lnTo>
                    <a:pt x="281412" y="557680"/>
                  </a:lnTo>
                  <a:lnTo>
                    <a:pt x="274289" y="546640"/>
                  </a:lnTo>
                  <a:lnTo>
                    <a:pt x="266850" y="530417"/>
                  </a:lnTo>
                  <a:lnTo>
                    <a:pt x="258937" y="509920"/>
                  </a:lnTo>
                  <a:lnTo>
                    <a:pt x="253714" y="483488"/>
                  </a:lnTo>
                  <a:lnTo>
                    <a:pt x="288218" y="442733"/>
                  </a:lnTo>
                  <a:lnTo>
                    <a:pt x="332060" y="467028"/>
                  </a:lnTo>
                  <a:lnTo>
                    <a:pt x="337757" y="458916"/>
                  </a:lnTo>
                  <a:lnTo>
                    <a:pt x="344880" y="431654"/>
                  </a:lnTo>
                  <a:lnTo>
                    <a:pt x="345355" y="425204"/>
                  </a:lnTo>
                  <a:lnTo>
                    <a:pt x="346621" y="412028"/>
                  </a:lnTo>
                  <a:lnTo>
                    <a:pt x="358966" y="404707"/>
                  </a:lnTo>
                  <a:lnTo>
                    <a:pt x="370995" y="376099"/>
                  </a:lnTo>
                  <a:lnTo>
                    <a:pt x="323671" y="344801"/>
                  </a:lnTo>
                  <a:lnTo>
                    <a:pt x="285685" y="332455"/>
                  </a:lnTo>
                  <a:lnTo>
                    <a:pt x="268592" y="330239"/>
                  </a:lnTo>
                  <a:lnTo>
                    <a:pt x="239469" y="332930"/>
                  </a:lnTo>
                  <a:lnTo>
                    <a:pt x="234404" y="282757"/>
                  </a:lnTo>
                  <a:lnTo>
                    <a:pt x="225857" y="289721"/>
                  </a:lnTo>
                  <a:lnTo>
                    <a:pt x="191195" y="291343"/>
                  </a:lnTo>
                  <a:lnTo>
                    <a:pt x="180433" y="296250"/>
                  </a:lnTo>
                  <a:lnTo>
                    <a:pt x="164447" y="299455"/>
                  </a:lnTo>
                  <a:lnTo>
                    <a:pt x="161598" y="311326"/>
                  </a:lnTo>
                  <a:lnTo>
                    <a:pt x="153684" y="317815"/>
                  </a:lnTo>
                  <a:lnTo>
                    <a:pt x="145138" y="314293"/>
                  </a:lnTo>
                  <a:lnTo>
                    <a:pt x="135166" y="312671"/>
                  </a:lnTo>
                  <a:lnTo>
                    <a:pt x="134850" y="337757"/>
                  </a:lnTo>
                  <a:lnTo>
                    <a:pt x="100188" y="337520"/>
                  </a:lnTo>
                  <a:lnTo>
                    <a:pt x="69957" y="338074"/>
                  </a:lnTo>
                  <a:lnTo>
                    <a:pt x="30705" y="338588"/>
                  </a:lnTo>
                  <a:lnTo>
                    <a:pt x="6806" y="337243"/>
                  </a:lnTo>
                </a:path>
              </a:pathLst>
            </a:custGeom>
            <a:solidFill>
              <a:srgbClr val="FFFFFF"/>
            </a:solidFill>
            <a:ln w="5132" cap="flat">
              <a:solidFill>
                <a:srgbClr val="030000"/>
              </a:solidFill>
              <a:prstDash val="solid"/>
              <a:miter/>
            </a:ln>
          </xdr:spPr>
          <xdr:txBody>
            <a:bodyPr rtlCol="0" anchor="ctr"/>
            <a:lstStyle/>
            <a:p>
              <a:endParaRPr lang="en-US"/>
            </a:p>
          </xdr:txBody>
        </xdr:sp>
        <xdr:sp macro="" textlink="">
          <xdr:nvSpPr>
            <xdr:cNvPr id="107" name="28_1">
              <a:extLst>
                <a:ext uri="{FF2B5EF4-FFF2-40B4-BE49-F238E27FC236}">
                  <a16:creationId xmlns:a16="http://schemas.microsoft.com/office/drawing/2014/main" id="{B61CFE17-A67F-9C43-B138-CD41700C5983}"/>
                </a:ext>
              </a:extLst>
            </xdr:cNvPr>
            <xdr:cNvSpPr/>
          </xdr:nvSpPr>
          <xdr:spPr>
            <a:xfrm>
              <a:off x="5549173" y="4902671"/>
              <a:ext cx="843492" cy="587375"/>
            </a:xfrm>
            <a:custGeom>
              <a:avLst/>
              <a:gdLst>
                <a:gd name="connsiteX0" fmla="*/ 506953 w 847725"/>
                <a:gd name="connsiteY0" fmla="*/ 532633 h 561975"/>
                <a:gd name="connsiteX1" fmla="*/ 506953 w 847725"/>
                <a:gd name="connsiteY1" fmla="*/ 532633 h 561975"/>
                <a:gd name="connsiteX2" fmla="*/ 480837 w 847725"/>
                <a:gd name="connsiteY2" fmla="*/ 545018 h 561975"/>
                <a:gd name="connsiteX3" fmla="*/ 452348 w 847725"/>
                <a:gd name="connsiteY3" fmla="*/ 552575 h 561975"/>
                <a:gd name="connsiteX4" fmla="*/ 392679 w 847725"/>
                <a:gd name="connsiteY4" fmla="*/ 562309 h 561975"/>
                <a:gd name="connsiteX5" fmla="*/ 376060 w 847725"/>
                <a:gd name="connsiteY5" fmla="*/ 512136 h 561975"/>
                <a:gd name="connsiteX6" fmla="*/ 333484 w 847725"/>
                <a:gd name="connsiteY6" fmla="*/ 332416 h 561975"/>
                <a:gd name="connsiteX7" fmla="*/ 306736 w 847725"/>
                <a:gd name="connsiteY7" fmla="*/ 336729 h 561975"/>
                <a:gd name="connsiteX8" fmla="*/ 258937 w 847725"/>
                <a:gd name="connsiteY8" fmla="*/ 342149 h 561975"/>
                <a:gd name="connsiteX9" fmla="*/ 237253 w 847725"/>
                <a:gd name="connsiteY9" fmla="*/ 341042 h 561975"/>
                <a:gd name="connsiteX10" fmla="*/ 198634 w 847725"/>
                <a:gd name="connsiteY10" fmla="*/ 334592 h 561975"/>
                <a:gd name="connsiteX11" fmla="*/ 148461 w 847725"/>
                <a:gd name="connsiteY11" fmla="*/ 330239 h 561975"/>
                <a:gd name="connsiteX12" fmla="*/ 146879 w 847725"/>
                <a:gd name="connsiteY12" fmla="*/ 342664 h 561975"/>
                <a:gd name="connsiteX13" fmla="*/ 148461 w 847725"/>
                <a:gd name="connsiteY13" fmla="*/ 356157 h 561975"/>
                <a:gd name="connsiteX14" fmla="*/ 148461 w 847725"/>
                <a:gd name="connsiteY14" fmla="*/ 380966 h 561975"/>
                <a:gd name="connsiteX15" fmla="*/ 146245 w 847725"/>
                <a:gd name="connsiteY15" fmla="*/ 408506 h 561975"/>
                <a:gd name="connsiteX16" fmla="*/ 142763 w 847725"/>
                <a:gd name="connsiteY16" fmla="*/ 429556 h 561975"/>
                <a:gd name="connsiteX17" fmla="*/ 137699 w 847725"/>
                <a:gd name="connsiteY17" fmla="*/ 441941 h 561975"/>
                <a:gd name="connsiteX18" fmla="*/ 39885 w 847725"/>
                <a:gd name="connsiteY18" fmla="*/ 440319 h 561975"/>
                <a:gd name="connsiteX19" fmla="*/ 11396 w 847725"/>
                <a:gd name="connsiteY19" fmla="*/ 402571 h 561975"/>
                <a:gd name="connsiteX20" fmla="*/ 0 w 847725"/>
                <a:gd name="connsiteY20" fmla="*/ 397704 h 561975"/>
                <a:gd name="connsiteX21" fmla="*/ 2849 w 847725"/>
                <a:gd name="connsiteY21" fmla="*/ 312433 h 561975"/>
                <a:gd name="connsiteX22" fmla="*/ 6331 w 847725"/>
                <a:gd name="connsiteY22" fmla="*/ 253081 h 561975"/>
                <a:gd name="connsiteX23" fmla="*/ 11396 w 847725"/>
                <a:gd name="connsiteY23" fmla="*/ 134375 h 561975"/>
                <a:gd name="connsiteX24" fmla="*/ 25957 w 847725"/>
                <a:gd name="connsiteY24" fmla="*/ 36166 h 561975"/>
                <a:gd name="connsiteX25" fmla="*/ 84835 w 847725"/>
                <a:gd name="connsiteY25" fmla="*/ 42061 h 561975"/>
                <a:gd name="connsiteX26" fmla="*/ 113324 w 847725"/>
                <a:gd name="connsiteY26" fmla="*/ 49619 h 561975"/>
                <a:gd name="connsiteX27" fmla="*/ 135483 w 847725"/>
                <a:gd name="connsiteY27" fmla="*/ 52864 h 561975"/>
                <a:gd name="connsiteX28" fmla="*/ 176318 w 847725"/>
                <a:gd name="connsiteY28" fmla="*/ 56108 h 561975"/>
                <a:gd name="connsiteX29" fmla="*/ 207181 w 847725"/>
                <a:gd name="connsiteY29" fmla="*/ 51795 h 561975"/>
                <a:gd name="connsiteX30" fmla="*/ 215095 w 847725"/>
                <a:gd name="connsiteY30" fmla="*/ 50173 h 561975"/>
                <a:gd name="connsiteX31" fmla="*/ 224433 w 847725"/>
                <a:gd name="connsiteY31" fmla="*/ 46928 h 561975"/>
                <a:gd name="connsiteX32" fmla="*/ 284261 w 847725"/>
                <a:gd name="connsiteY32" fmla="*/ 20734 h 561975"/>
                <a:gd name="connsiteX33" fmla="*/ 307844 w 847725"/>
                <a:gd name="connsiteY33" fmla="*/ 12939 h 561975"/>
                <a:gd name="connsiteX34" fmla="*/ 372103 w 847725"/>
                <a:gd name="connsiteY34" fmla="*/ 3759 h 561975"/>
                <a:gd name="connsiteX35" fmla="*/ 432247 w 847725"/>
                <a:gd name="connsiteY35" fmla="*/ 3205 h 561975"/>
                <a:gd name="connsiteX36" fmla="*/ 459787 w 847725"/>
                <a:gd name="connsiteY36" fmla="*/ 0 h 561975"/>
                <a:gd name="connsiteX37" fmla="*/ 458046 w 847725"/>
                <a:gd name="connsiteY37" fmla="*/ 37748 h 561975"/>
                <a:gd name="connsiteX38" fmla="*/ 425125 w 847725"/>
                <a:gd name="connsiteY38" fmla="*/ 40993 h 561975"/>
                <a:gd name="connsiteX39" fmla="*/ 420535 w 847725"/>
                <a:gd name="connsiteY39" fmla="*/ 47997 h 561975"/>
                <a:gd name="connsiteX40" fmla="*/ 429082 w 847725"/>
                <a:gd name="connsiteY40" fmla="*/ 51795 h 561975"/>
                <a:gd name="connsiteX41" fmla="*/ 449499 w 847725"/>
                <a:gd name="connsiteY41" fmla="*/ 64220 h 561975"/>
                <a:gd name="connsiteX42" fmla="*/ 476247 w 847725"/>
                <a:gd name="connsiteY42" fmla="*/ 86853 h 561975"/>
                <a:gd name="connsiteX43" fmla="*/ 501888 w 847725"/>
                <a:gd name="connsiteY43" fmla="*/ 110634 h 561975"/>
                <a:gd name="connsiteX44" fmla="*/ 530377 w 847725"/>
                <a:gd name="connsiteY44" fmla="*/ 127332 h 561975"/>
                <a:gd name="connsiteX45" fmla="*/ 529744 w 847725"/>
                <a:gd name="connsiteY45" fmla="*/ 135958 h 561975"/>
                <a:gd name="connsiteX46" fmla="*/ 521830 w 847725"/>
                <a:gd name="connsiteY46" fmla="*/ 151073 h 561975"/>
                <a:gd name="connsiteX47" fmla="*/ 519456 w 847725"/>
                <a:gd name="connsiteY47" fmla="*/ 179167 h 561975"/>
                <a:gd name="connsiteX48" fmla="*/ 525154 w 847725"/>
                <a:gd name="connsiteY48" fmla="*/ 227163 h 561975"/>
                <a:gd name="connsiteX49" fmla="*/ 530852 w 847725"/>
                <a:gd name="connsiteY49" fmla="*/ 261707 h 561975"/>
                <a:gd name="connsiteX50" fmla="*/ 531485 w 847725"/>
                <a:gd name="connsiteY50" fmla="*/ 280620 h 561975"/>
                <a:gd name="connsiteX51" fmla="*/ 528003 w 847725"/>
                <a:gd name="connsiteY51" fmla="*/ 353980 h 561975"/>
                <a:gd name="connsiteX52" fmla="*/ 560449 w 847725"/>
                <a:gd name="connsiteY52" fmla="*/ 359401 h 561975"/>
                <a:gd name="connsiteX53" fmla="*/ 575802 w 847725"/>
                <a:gd name="connsiteY53" fmla="*/ 347531 h 561975"/>
                <a:gd name="connsiteX54" fmla="*/ 588939 w 847725"/>
                <a:gd name="connsiteY54" fmla="*/ 336729 h 561975"/>
                <a:gd name="connsiteX55" fmla="*/ 607140 w 847725"/>
                <a:gd name="connsiteY55" fmla="*/ 329171 h 561975"/>
                <a:gd name="connsiteX56" fmla="*/ 633414 w 847725"/>
                <a:gd name="connsiteY56" fmla="*/ 323790 h 561975"/>
                <a:gd name="connsiteX57" fmla="*/ 674249 w 847725"/>
                <a:gd name="connsiteY57" fmla="*/ 318923 h 561975"/>
                <a:gd name="connsiteX58" fmla="*/ 679946 w 847725"/>
                <a:gd name="connsiteY58" fmla="*/ 314610 h 561975"/>
                <a:gd name="connsiteX59" fmla="*/ 688493 w 847725"/>
                <a:gd name="connsiteY59" fmla="*/ 310811 h 561975"/>
                <a:gd name="connsiteX60" fmla="*/ 693716 w 847725"/>
                <a:gd name="connsiteY60" fmla="*/ 324304 h 561975"/>
                <a:gd name="connsiteX61" fmla="*/ 703846 w 847725"/>
                <a:gd name="connsiteY61" fmla="*/ 328617 h 561975"/>
                <a:gd name="connsiteX62" fmla="*/ 826192 w 847725"/>
                <a:gd name="connsiteY62" fmla="*/ 317300 h 561975"/>
                <a:gd name="connsiteX63" fmla="*/ 831890 w 847725"/>
                <a:gd name="connsiteY63" fmla="*/ 335106 h 561975"/>
                <a:gd name="connsiteX64" fmla="*/ 852465 w 847725"/>
                <a:gd name="connsiteY64" fmla="*/ 417132 h 561975"/>
                <a:gd name="connsiteX65" fmla="*/ 807041 w 847725"/>
                <a:gd name="connsiteY65" fmla="*/ 445146 h 561975"/>
                <a:gd name="connsiteX66" fmla="*/ 790897 w 847725"/>
                <a:gd name="connsiteY66" fmla="*/ 454366 h 561975"/>
                <a:gd name="connsiteX67" fmla="*/ 763674 w 847725"/>
                <a:gd name="connsiteY67" fmla="*/ 464614 h 561975"/>
                <a:gd name="connsiteX68" fmla="*/ 736292 w 847725"/>
                <a:gd name="connsiteY68" fmla="*/ 470550 h 561975"/>
                <a:gd name="connsiteX69" fmla="*/ 713026 w 847725"/>
                <a:gd name="connsiteY69" fmla="*/ 476524 h 561975"/>
                <a:gd name="connsiteX70" fmla="*/ 667443 w 847725"/>
                <a:gd name="connsiteY70" fmla="*/ 482460 h 561975"/>
                <a:gd name="connsiteX71" fmla="*/ 639112 w 847725"/>
                <a:gd name="connsiteY71" fmla="*/ 489463 h 561975"/>
                <a:gd name="connsiteX72" fmla="*/ 596378 w 847725"/>
                <a:gd name="connsiteY72" fmla="*/ 501334 h 561975"/>
                <a:gd name="connsiteX73" fmla="*/ 570737 w 847725"/>
                <a:gd name="connsiteY73" fmla="*/ 508891 h 561975"/>
                <a:gd name="connsiteX74" fmla="*/ 558234 w 847725"/>
                <a:gd name="connsiteY74" fmla="*/ 513758 h 561975"/>
                <a:gd name="connsiteX75" fmla="*/ 547946 w 847725"/>
                <a:gd name="connsiteY75" fmla="*/ 522899 h 561975"/>
                <a:gd name="connsiteX76" fmla="*/ 526895 w 847725"/>
                <a:gd name="connsiteY76" fmla="*/ 522899 h 561975"/>
                <a:gd name="connsiteX77" fmla="*/ 506953 w 847725"/>
                <a:gd name="connsiteY77" fmla="*/ 532633 h 5619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Lst>
              <a:rect l="l" t="t" r="r" b="b"/>
              <a:pathLst>
                <a:path w="847725" h="561975">
                  <a:moveTo>
                    <a:pt x="506953" y="532633"/>
                  </a:moveTo>
                  <a:lnTo>
                    <a:pt x="506953" y="532633"/>
                  </a:lnTo>
                  <a:lnTo>
                    <a:pt x="480837" y="545018"/>
                  </a:lnTo>
                  <a:lnTo>
                    <a:pt x="452348" y="552575"/>
                  </a:lnTo>
                  <a:lnTo>
                    <a:pt x="392679" y="562309"/>
                  </a:lnTo>
                  <a:lnTo>
                    <a:pt x="376060" y="512136"/>
                  </a:lnTo>
                  <a:lnTo>
                    <a:pt x="333484" y="332416"/>
                  </a:lnTo>
                  <a:lnTo>
                    <a:pt x="306736" y="336729"/>
                  </a:lnTo>
                  <a:lnTo>
                    <a:pt x="258937" y="342149"/>
                  </a:lnTo>
                  <a:lnTo>
                    <a:pt x="237253" y="341042"/>
                  </a:lnTo>
                  <a:lnTo>
                    <a:pt x="198634" y="334592"/>
                  </a:lnTo>
                  <a:lnTo>
                    <a:pt x="148461" y="330239"/>
                  </a:lnTo>
                  <a:lnTo>
                    <a:pt x="146879" y="342664"/>
                  </a:lnTo>
                  <a:lnTo>
                    <a:pt x="148461" y="356157"/>
                  </a:lnTo>
                  <a:lnTo>
                    <a:pt x="148461" y="380966"/>
                  </a:lnTo>
                  <a:lnTo>
                    <a:pt x="146245" y="408506"/>
                  </a:lnTo>
                  <a:lnTo>
                    <a:pt x="142763" y="429556"/>
                  </a:lnTo>
                  <a:lnTo>
                    <a:pt x="137699" y="441941"/>
                  </a:lnTo>
                  <a:lnTo>
                    <a:pt x="39885" y="440319"/>
                  </a:lnTo>
                  <a:lnTo>
                    <a:pt x="11396" y="402571"/>
                  </a:lnTo>
                  <a:lnTo>
                    <a:pt x="0" y="397704"/>
                  </a:lnTo>
                  <a:lnTo>
                    <a:pt x="2849" y="312433"/>
                  </a:lnTo>
                  <a:lnTo>
                    <a:pt x="6331" y="253081"/>
                  </a:lnTo>
                  <a:lnTo>
                    <a:pt x="11396" y="134375"/>
                  </a:lnTo>
                  <a:lnTo>
                    <a:pt x="25957" y="36166"/>
                  </a:lnTo>
                  <a:lnTo>
                    <a:pt x="84835" y="42061"/>
                  </a:lnTo>
                  <a:lnTo>
                    <a:pt x="113324" y="49619"/>
                  </a:lnTo>
                  <a:lnTo>
                    <a:pt x="135483" y="52864"/>
                  </a:lnTo>
                  <a:lnTo>
                    <a:pt x="176318" y="56108"/>
                  </a:lnTo>
                  <a:lnTo>
                    <a:pt x="207181" y="51795"/>
                  </a:lnTo>
                  <a:lnTo>
                    <a:pt x="215095" y="50173"/>
                  </a:lnTo>
                  <a:lnTo>
                    <a:pt x="224433" y="46928"/>
                  </a:lnTo>
                  <a:lnTo>
                    <a:pt x="284261" y="20734"/>
                  </a:lnTo>
                  <a:lnTo>
                    <a:pt x="307844" y="12939"/>
                  </a:lnTo>
                  <a:lnTo>
                    <a:pt x="372103" y="3759"/>
                  </a:lnTo>
                  <a:lnTo>
                    <a:pt x="432247" y="3205"/>
                  </a:lnTo>
                  <a:lnTo>
                    <a:pt x="459787" y="0"/>
                  </a:lnTo>
                  <a:lnTo>
                    <a:pt x="458046" y="37748"/>
                  </a:lnTo>
                  <a:lnTo>
                    <a:pt x="425125" y="40993"/>
                  </a:lnTo>
                  <a:lnTo>
                    <a:pt x="420535" y="47997"/>
                  </a:lnTo>
                  <a:lnTo>
                    <a:pt x="429082" y="51795"/>
                  </a:lnTo>
                  <a:lnTo>
                    <a:pt x="449499" y="64220"/>
                  </a:lnTo>
                  <a:lnTo>
                    <a:pt x="476247" y="86853"/>
                  </a:lnTo>
                  <a:lnTo>
                    <a:pt x="501888" y="110634"/>
                  </a:lnTo>
                  <a:lnTo>
                    <a:pt x="530377" y="127332"/>
                  </a:lnTo>
                  <a:lnTo>
                    <a:pt x="529744" y="135958"/>
                  </a:lnTo>
                  <a:lnTo>
                    <a:pt x="521830" y="151073"/>
                  </a:lnTo>
                  <a:lnTo>
                    <a:pt x="519456" y="179167"/>
                  </a:lnTo>
                  <a:lnTo>
                    <a:pt x="525154" y="227163"/>
                  </a:lnTo>
                  <a:lnTo>
                    <a:pt x="530852" y="261707"/>
                  </a:lnTo>
                  <a:lnTo>
                    <a:pt x="531485" y="280620"/>
                  </a:lnTo>
                  <a:lnTo>
                    <a:pt x="528003" y="353980"/>
                  </a:lnTo>
                  <a:lnTo>
                    <a:pt x="560449" y="359401"/>
                  </a:lnTo>
                  <a:lnTo>
                    <a:pt x="575802" y="347531"/>
                  </a:lnTo>
                  <a:lnTo>
                    <a:pt x="588939" y="336729"/>
                  </a:lnTo>
                  <a:lnTo>
                    <a:pt x="607140" y="329171"/>
                  </a:lnTo>
                  <a:lnTo>
                    <a:pt x="633414" y="323790"/>
                  </a:lnTo>
                  <a:lnTo>
                    <a:pt x="674249" y="318923"/>
                  </a:lnTo>
                  <a:lnTo>
                    <a:pt x="679946" y="314610"/>
                  </a:lnTo>
                  <a:lnTo>
                    <a:pt x="688493" y="310811"/>
                  </a:lnTo>
                  <a:lnTo>
                    <a:pt x="693716" y="324304"/>
                  </a:lnTo>
                  <a:lnTo>
                    <a:pt x="703846" y="328617"/>
                  </a:lnTo>
                  <a:lnTo>
                    <a:pt x="826192" y="317300"/>
                  </a:lnTo>
                  <a:lnTo>
                    <a:pt x="831890" y="335106"/>
                  </a:lnTo>
                  <a:lnTo>
                    <a:pt x="852465" y="417132"/>
                  </a:lnTo>
                  <a:lnTo>
                    <a:pt x="807041" y="445146"/>
                  </a:lnTo>
                  <a:lnTo>
                    <a:pt x="790897" y="454366"/>
                  </a:lnTo>
                  <a:lnTo>
                    <a:pt x="763674" y="464614"/>
                  </a:lnTo>
                  <a:lnTo>
                    <a:pt x="736292" y="470550"/>
                  </a:lnTo>
                  <a:lnTo>
                    <a:pt x="713026" y="476524"/>
                  </a:lnTo>
                  <a:lnTo>
                    <a:pt x="667443" y="482460"/>
                  </a:lnTo>
                  <a:lnTo>
                    <a:pt x="639112" y="489463"/>
                  </a:lnTo>
                  <a:lnTo>
                    <a:pt x="596378" y="501334"/>
                  </a:lnTo>
                  <a:lnTo>
                    <a:pt x="570737" y="508891"/>
                  </a:lnTo>
                  <a:lnTo>
                    <a:pt x="558234" y="513758"/>
                  </a:lnTo>
                  <a:lnTo>
                    <a:pt x="547946" y="522899"/>
                  </a:lnTo>
                  <a:lnTo>
                    <a:pt x="526895" y="522899"/>
                  </a:lnTo>
                  <a:lnTo>
                    <a:pt x="506953" y="532633"/>
                  </a:lnTo>
                </a:path>
              </a:pathLst>
            </a:custGeom>
            <a:solidFill>
              <a:srgbClr val="FFFFFF"/>
            </a:solidFill>
            <a:ln w="5132" cap="flat">
              <a:solidFill>
                <a:srgbClr val="030000"/>
              </a:solidFill>
              <a:prstDash val="solid"/>
              <a:miter/>
            </a:ln>
          </xdr:spPr>
          <xdr:txBody>
            <a:bodyPr rtlCol="0" anchor="ctr"/>
            <a:lstStyle/>
            <a:p>
              <a:endParaRPr lang="en-US"/>
            </a:p>
          </xdr:txBody>
        </xdr:sp>
        <xdr:sp macro="" textlink="">
          <xdr:nvSpPr>
            <xdr:cNvPr id="108" name="27_1">
              <a:extLst>
                <a:ext uri="{FF2B5EF4-FFF2-40B4-BE49-F238E27FC236}">
                  <a16:creationId xmlns:a16="http://schemas.microsoft.com/office/drawing/2014/main" id="{834770BA-8452-EB45-93E9-D399D8B0FB38}"/>
                </a:ext>
              </a:extLst>
            </xdr:cNvPr>
            <xdr:cNvSpPr/>
          </xdr:nvSpPr>
          <xdr:spPr>
            <a:xfrm>
              <a:off x="6008684" y="5336736"/>
              <a:ext cx="419100" cy="606425"/>
            </a:xfrm>
            <a:custGeom>
              <a:avLst/>
              <a:gdLst>
                <a:gd name="connsiteX0" fmla="*/ 390938 w 419100"/>
                <a:gd name="connsiteY0" fmla="*/ 573190 h 581025"/>
                <a:gd name="connsiteX1" fmla="*/ 390938 w 419100"/>
                <a:gd name="connsiteY1" fmla="*/ 573190 h 581025"/>
                <a:gd name="connsiteX2" fmla="*/ 345355 w 419100"/>
                <a:gd name="connsiteY2" fmla="*/ 571014 h 581025"/>
                <a:gd name="connsiteX3" fmla="*/ 290275 w 419100"/>
                <a:gd name="connsiteY3" fmla="*/ 577503 h 581025"/>
                <a:gd name="connsiteX4" fmla="*/ 269699 w 419100"/>
                <a:gd name="connsiteY4" fmla="*/ 578572 h 581025"/>
                <a:gd name="connsiteX5" fmla="*/ 248649 w 419100"/>
                <a:gd name="connsiteY5" fmla="*/ 577503 h 581025"/>
                <a:gd name="connsiteX6" fmla="*/ 228232 w 419100"/>
                <a:gd name="connsiteY6" fmla="*/ 572083 h 581025"/>
                <a:gd name="connsiteX7" fmla="*/ 180433 w 419100"/>
                <a:gd name="connsiteY7" fmla="*/ 576435 h 581025"/>
                <a:gd name="connsiteX8" fmla="*/ 126936 w 419100"/>
                <a:gd name="connsiteY8" fmla="*/ 582370 h 581025"/>
                <a:gd name="connsiteX9" fmla="*/ 126303 w 419100"/>
                <a:gd name="connsiteY9" fmla="*/ 576949 h 581025"/>
                <a:gd name="connsiteX10" fmla="*/ 95598 w 419100"/>
                <a:gd name="connsiteY10" fmla="*/ 572083 h 581025"/>
                <a:gd name="connsiteX11" fmla="*/ 65684 w 419100"/>
                <a:gd name="connsiteY11" fmla="*/ 571568 h 581025"/>
                <a:gd name="connsiteX12" fmla="*/ 49540 w 419100"/>
                <a:gd name="connsiteY12" fmla="*/ 540230 h 581025"/>
                <a:gd name="connsiteX13" fmla="*/ 29597 w 419100"/>
                <a:gd name="connsiteY13" fmla="*/ 469560 h 581025"/>
                <a:gd name="connsiteX14" fmla="*/ 2216 w 419100"/>
                <a:gd name="connsiteY14" fmla="*/ 394538 h 581025"/>
                <a:gd name="connsiteX15" fmla="*/ 2216 w 419100"/>
                <a:gd name="connsiteY15" fmla="*/ 380491 h 581025"/>
                <a:gd name="connsiteX16" fmla="*/ 0 w 419100"/>
                <a:gd name="connsiteY16" fmla="*/ 371312 h 581025"/>
                <a:gd name="connsiteX17" fmla="*/ 24533 w 419100"/>
                <a:gd name="connsiteY17" fmla="*/ 379423 h 581025"/>
                <a:gd name="connsiteX18" fmla="*/ 68216 w 419100"/>
                <a:gd name="connsiteY18" fmla="*/ 382114 h 581025"/>
                <a:gd name="connsiteX19" fmla="*/ 59828 w 419100"/>
                <a:gd name="connsiteY19" fmla="*/ 320585 h 581025"/>
                <a:gd name="connsiteX20" fmla="*/ 52389 w 419100"/>
                <a:gd name="connsiteY20" fmla="*/ 315718 h 581025"/>
                <a:gd name="connsiteX21" fmla="*/ 49540 w 419100"/>
                <a:gd name="connsiteY21" fmla="*/ 238519 h 581025"/>
                <a:gd name="connsiteX22" fmla="*/ 44475 w 419100"/>
                <a:gd name="connsiteY22" fmla="*/ 188346 h 581025"/>
                <a:gd name="connsiteX23" fmla="*/ 43209 w 419100"/>
                <a:gd name="connsiteY23" fmla="*/ 115501 h 581025"/>
                <a:gd name="connsiteX24" fmla="*/ 63151 w 419100"/>
                <a:gd name="connsiteY24" fmla="*/ 105767 h 581025"/>
                <a:gd name="connsiteX25" fmla="*/ 84202 w 419100"/>
                <a:gd name="connsiteY25" fmla="*/ 105767 h 581025"/>
                <a:gd name="connsiteX26" fmla="*/ 94490 w 419100"/>
                <a:gd name="connsiteY26" fmla="*/ 96626 h 581025"/>
                <a:gd name="connsiteX27" fmla="*/ 106993 w 419100"/>
                <a:gd name="connsiteY27" fmla="*/ 91760 h 581025"/>
                <a:gd name="connsiteX28" fmla="*/ 132634 w 419100"/>
                <a:gd name="connsiteY28" fmla="*/ 84202 h 581025"/>
                <a:gd name="connsiteX29" fmla="*/ 175368 w 419100"/>
                <a:gd name="connsiteY29" fmla="*/ 72331 h 581025"/>
                <a:gd name="connsiteX30" fmla="*/ 203699 w 419100"/>
                <a:gd name="connsiteY30" fmla="*/ 65328 h 581025"/>
                <a:gd name="connsiteX31" fmla="*/ 249282 w 419100"/>
                <a:gd name="connsiteY31" fmla="*/ 59392 h 581025"/>
                <a:gd name="connsiteX32" fmla="*/ 272548 w 419100"/>
                <a:gd name="connsiteY32" fmla="*/ 53418 h 581025"/>
                <a:gd name="connsiteX33" fmla="*/ 299930 w 419100"/>
                <a:gd name="connsiteY33" fmla="*/ 47482 h 581025"/>
                <a:gd name="connsiteX34" fmla="*/ 327153 w 419100"/>
                <a:gd name="connsiteY34" fmla="*/ 37234 h 581025"/>
                <a:gd name="connsiteX35" fmla="*/ 343297 w 419100"/>
                <a:gd name="connsiteY35" fmla="*/ 28015 h 581025"/>
                <a:gd name="connsiteX36" fmla="*/ 388722 w 419100"/>
                <a:gd name="connsiteY36" fmla="*/ 0 h 581025"/>
                <a:gd name="connsiteX37" fmla="*/ 389197 w 419100"/>
                <a:gd name="connsiteY37" fmla="*/ 37788 h 581025"/>
                <a:gd name="connsiteX38" fmla="*/ 406290 w 419100"/>
                <a:gd name="connsiteY38" fmla="*/ 60975 h 581025"/>
                <a:gd name="connsiteX39" fmla="*/ 405815 w 419100"/>
                <a:gd name="connsiteY39" fmla="*/ 82580 h 581025"/>
                <a:gd name="connsiteX40" fmla="*/ 425600 w 419100"/>
                <a:gd name="connsiteY40" fmla="*/ 90652 h 581025"/>
                <a:gd name="connsiteX41" fmla="*/ 427341 w 419100"/>
                <a:gd name="connsiteY41" fmla="*/ 109565 h 581025"/>
                <a:gd name="connsiteX42" fmla="*/ 422751 w 419100"/>
                <a:gd name="connsiteY42" fmla="*/ 166228 h 581025"/>
                <a:gd name="connsiteX43" fmla="*/ 419427 w 419100"/>
                <a:gd name="connsiteY43" fmla="*/ 185141 h 581025"/>
                <a:gd name="connsiteX44" fmla="*/ 406290 w 419100"/>
                <a:gd name="connsiteY44" fmla="*/ 223998 h 581025"/>
                <a:gd name="connsiteX45" fmla="*/ 389197 w 419100"/>
                <a:gd name="connsiteY45" fmla="*/ 256879 h 581025"/>
                <a:gd name="connsiteX46" fmla="*/ 379542 w 419100"/>
                <a:gd name="connsiteY46" fmla="*/ 315718 h 581025"/>
                <a:gd name="connsiteX47" fmla="*/ 372736 w 419100"/>
                <a:gd name="connsiteY47" fmla="*/ 362686 h 581025"/>
                <a:gd name="connsiteX48" fmla="*/ 368779 w 419100"/>
                <a:gd name="connsiteY48" fmla="*/ 429082 h 581025"/>
                <a:gd name="connsiteX49" fmla="*/ 376218 w 419100"/>
                <a:gd name="connsiteY49" fmla="*/ 506240 h 581025"/>
                <a:gd name="connsiteX50" fmla="*/ 390938 w 419100"/>
                <a:gd name="connsiteY50" fmla="*/ 573190 h 5810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Lst>
              <a:rect l="l" t="t" r="r" b="b"/>
              <a:pathLst>
                <a:path w="419100" h="581025">
                  <a:moveTo>
                    <a:pt x="390938" y="573190"/>
                  </a:moveTo>
                  <a:lnTo>
                    <a:pt x="390938" y="573190"/>
                  </a:lnTo>
                  <a:lnTo>
                    <a:pt x="345355" y="571014"/>
                  </a:lnTo>
                  <a:lnTo>
                    <a:pt x="290275" y="577503"/>
                  </a:lnTo>
                  <a:lnTo>
                    <a:pt x="269699" y="578572"/>
                  </a:lnTo>
                  <a:lnTo>
                    <a:pt x="248649" y="577503"/>
                  </a:lnTo>
                  <a:lnTo>
                    <a:pt x="228232" y="572083"/>
                  </a:lnTo>
                  <a:lnTo>
                    <a:pt x="180433" y="576435"/>
                  </a:lnTo>
                  <a:lnTo>
                    <a:pt x="126936" y="582370"/>
                  </a:lnTo>
                  <a:lnTo>
                    <a:pt x="126303" y="576949"/>
                  </a:lnTo>
                  <a:lnTo>
                    <a:pt x="95598" y="572083"/>
                  </a:lnTo>
                  <a:lnTo>
                    <a:pt x="65684" y="571568"/>
                  </a:lnTo>
                  <a:lnTo>
                    <a:pt x="49540" y="540230"/>
                  </a:lnTo>
                  <a:lnTo>
                    <a:pt x="29597" y="469560"/>
                  </a:lnTo>
                  <a:lnTo>
                    <a:pt x="2216" y="394538"/>
                  </a:lnTo>
                  <a:lnTo>
                    <a:pt x="2216" y="380491"/>
                  </a:lnTo>
                  <a:lnTo>
                    <a:pt x="0" y="371312"/>
                  </a:lnTo>
                  <a:lnTo>
                    <a:pt x="24533" y="379423"/>
                  </a:lnTo>
                  <a:lnTo>
                    <a:pt x="68216" y="382114"/>
                  </a:lnTo>
                  <a:lnTo>
                    <a:pt x="59828" y="320585"/>
                  </a:lnTo>
                  <a:lnTo>
                    <a:pt x="52389" y="315718"/>
                  </a:lnTo>
                  <a:lnTo>
                    <a:pt x="49540" y="238519"/>
                  </a:lnTo>
                  <a:lnTo>
                    <a:pt x="44475" y="188346"/>
                  </a:lnTo>
                  <a:lnTo>
                    <a:pt x="43209" y="115501"/>
                  </a:lnTo>
                  <a:lnTo>
                    <a:pt x="63151" y="105767"/>
                  </a:lnTo>
                  <a:lnTo>
                    <a:pt x="84202" y="105767"/>
                  </a:lnTo>
                  <a:lnTo>
                    <a:pt x="94490" y="96626"/>
                  </a:lnTo>
                  <a:lnTo>
                    <a:pt x="106993" y="91760"/>
                  </a:lnTo>
                  <a:lnTo>
                    <a:pt x="132634" y="84202"/>
                  </a:lnTo>
                  <a:lnTo>
                    <a:pt x="175368" y="72331"/>
                  </a:lnTo>
                  <a:lnTo>
                    <a:pt x="203699" y="65328"/>
                  </a:lnTo>
                  <a:lnTo>
                    <a:pt x="249282" y="59392"/>
                  </a:lnTo>
                  <a:lnTo>
                    <a:pt x="272548" y="53418"/>
                  </a:lnTo>
                  <a:lnTo>
                    <a:pt x="299930" y="47482"/>
                  </a:lnTo>
                  <a:lnTo>
                    <a:pt x="327153" y="37234"/>
                  </a:lnTo>
                  <a:lnTo>
                    <a:pt x="343297" y="28015"/>
                  </a:lnTo>
                  <a:lnTo>
                    <a:pt x="388722" y="0"/>
                  </a:lnTo>
                  <a:lnTo>
                    <a:pt x="389197" y="37788"/>
                  </a:lnTo>
                  <a:lnTo>
                    <a:pt x="406290" y="60975"/>
                  </a:lnTo>
                  <a:lnTo>
                    <a:pt x="405815" y="82580"/>
                  </a:lnTo>
                  <a:lnTo>
                    <a:pt x="425600" y="90652"/>
                  </a:lnTo>
                  <a:lnTo>
                    <a:pt x="427341" y="109565"/>
                  </a:lnTo>
                  <a:lnTo>
                    <a:pt x="422751" y="166228"/>
                  </a:lnTo>
                  <a:lnTo>
                    <a:pt x="419427" y="185141"/>
                  </a:lnTo>
                  <a:lnTo>
                    <a:pt x="406290" y="223998"/>
                  </a:lnTo>
                  <a:lnTo>
                    <a:pt x="389197" y="256879"/>
                  </a:lnTo>
                  <a:lnTo>
                    <a:pt x="379542" y="315718"/>
                  </a:lnTo>
                  <a:lnTo>
                    <a:pt x="372736" y="362686"/>
                  </a:lnTo>
                  <a:lnTo>
                    <a:pt x="368779" y="429082"/>
                  </a:lnTo>
                  <a:lnTo>
                    <a:pt x="376218" y="506240"/>
                  </a:lnTo>
                  <a:lnTo>
                    <a:pt x="390938" y="573190"/>
                  </a:lnTo>
                </a:path>
              </a:pathLst>
            </a:custGeom>
            <a:solidFill>
              <a:srgbClr val="FFFFFF"/>
            </a:solidFill>
            <a:ln w="5132" cap="flat">
              <a:solidFill>
                <a:srgbClr val="030000"/>
              </a:solidFill>
              <a:prstDash val="solid"/>
              <a:miter/>
            </a:ln>
          </xdr:spPr>
          <xdr:txBody>
            <a:bodyPr rtlCol="0" anchor="ctr"/>
            <a:lstStyle/>
            <a:p>
              <a:endParaRPr lang="en-US"/>
            </a:p>
          </xdr:txBody>
        </xdr:sp>
        <xdr:sp macro="" textlink="">
          <xdr:nvSpPr>
            <xdr:cNvPr id="109" name="26_1">
              <a:extLst>
                <a:ext uri="{FF2B5EF4-FFF2-40B4-BE49-F238E27FC236}">
                  <a16:creationId xmlns:a16="http://schemas.microsoft.com/office/drawing/2014/main" id="{AF1DA72A-A8BE-6D4E-BF80-C00E4D8DEE01}"/>
                </a:ext>
              </a:extLst>
            </xdr:cNvPr>
            <xdr:cNvSpPr/>
          </xdr:nvSpPr>
          <xdr:spPr>
            <a:xfrm>
              <a:off x="6377463" y="5265513"/>
              <a:ext cx="1458383" cy="862541"/>
            </a:xfrm>
            <a:custGeom>
              <a:avLst/>
              <a:gdLst>
                <a:gd name="connsiteX0" fmla="*/ 37036 w 1466850"/>
                <a:gd name="connsiteY0" fmla="*/ 295221 h 828675"/>
                <a:gd name="connsiteX1" fmla="*/ 37036 w 1466850"/>
                <a:gd name="connsiteY1" fmla="*/ 295221 h 828675"/>
                <a:gd name="connsiteX2" fmla="*/ 81353 w 1466850"/>
                <a:gd name="connsiteY2" fmla="*/ 294113 h 828675"/>
                <a:gd name="connsiteX3" fmla="*/ 116015 w 1466850"/>
                <a:gd name="connsiteY3" fmla="*/ 295221 h 828675"/>
                <a:gd name="connsiteX4" fmla="*/ 126303 w 1466850"/>
                <a:gd name="connsiteY4" fmla="*/ 281174 h 828675"/>
                <a:gd name="connsiteX5" fmla="*/ 125670 w 1466850"/>
                <a:gd name="connsiteY5" fmla="*/ 254189 h 828675"/>
                <a:gd name="connsiteX6" fmla="*/ 151310 w 1466850"/>
                <a:gd name="connsiteY6" fmla="*/ 215847 h 828675"/>
                <a:gd name="connsiteX7" fmla="*/ 175843 w 1466850"/>
                <a:gd name="connsiteY7" fmla="*/ 218577 h 828675"/>
                <a:gd name="connsiteX8" fmla="*/ 191670 w 1466850"/>
                <a:gd name="connsiteY8" fmla="*/ 205638 h 828675"/>
                <a:gd name="connsiteX9" fmla="*/ 205915 w 1466850"/>
                <a:gd name="connsiteY9" fmla="*/ 205638 h 828675"/>
                <a:gd name="connsiteX10" fmla="*/ 226965 w 1466850"/>
                <a:gd name="connsiteY10" fmla="*/ 200217 h 828675"/>
                <a:gd name="connsiteX11" fmla="*/ 226491 w 1466850"/>
                <a:gd name="connsiteY11" fmla="*/ 191037 h 828675"/>
                <a:gd name="connsiteX12" fmla="*/ 267958 w 1466850"/>
                <a:gd name="connsiteY12" fmla="*/ 196458 h 828675"/>
                <a:gd name="connsiteX13" fmla="*/ 322088 w 1466850"/>
                <a:gd name="connsiteY13" fmla="*/ 201839 h 828675"/>
                <a:gd name="connsiteX14" fmla="*/ 363556 w 1466850"/>
                <a:gd name="connsiteY14" fmla="*/ 204530 h 828675"/>
                <a:gd name="connsiteX15" fmla="*/ 385240 w 1466850"/>
                <a:gd name="connsiteY15" fmla="*/ 204016 h 828675"/>
                <a:gd name="connsiteX16" fmla="*/ 420535 w 1466850"/>
                <a:gd name="connsiteY16" fmla="*/ 207221 h 828675"/>
                <a:gd name="connsiteX17" fmla="*/ 481312 w 1466850"/>
                <a:gd name="connsiteY17" fmla="*/ 213156 h 828675"/>
                <a:gd name="connsiteX18" fmla="*/ 533226 w 1466850"/>
                <a:gd name="connsiteY18" fmla="*/ 219091 h 828675"/>
                <a:gd name="connsiteX19" fmla="*/ 550795 w 1466850"/>
                <a:gd name="connsiteY19" fmla="*/ 177544 h 828675"/>
                <a:gd name="connsiteX20" fmla="*/ 558234 w 1466850"/>
                <a:gd name="connsiteY20" fmla="*/ 184033 h 828675"/>
                <a:gd name="connsiteX21" fmla="*/ 559975 w 1466850"/>
                <a:gd name="connsiteY21" fmla="*/ 192105 h 828675"/>
                <a:gd name="connsiteX22" fmla="*/ 562823 w 1466850"/>
                <a:gd name="connsiteY22" fmla="*/ 207221 h 828675"/>
                <a:gd name="connsiteX23" fmla="*/ 567255 w 1466850"/>
                <a:gd name="connsiteY23" fmla="*/ 234206 h 828675"/>
                <a:gd name="connsiteX24" fmla="*/ 572478 w 1466850"/>
                <a:gd name="connsiteY24" fmla="*/ 240142 h 828675"/>
                <a:gd name="connsiteX25" fmla="*/ 602075 w 1466850"/>
                <a:gd name="connsiteY25" fmla="*/ 238005 h 828675"/>
                <a:gd name="connsiteX26" fmla="*/ 609356 w 1466850"/>
                <a:gd name="connsiteY26" fmla="*/ 248253 h 828675"/>
                <a:gd name="connsiteX27" fmla="*/ 701630 w 1466850"/>
                <a:gd name="connsiteY27" fmla="*/ 308714 h 828675"/>
                <a:gd name="connsiteX28" fmla="*/ 716350 w 1466850"/>
                <a:gd name="connsiteY28" fmla="*/ 327588 h 828675"/>
                <a:gd name="connsiteX29" fmla="*/ 722047 w 1466850"/>
                <a:gd name="connsiteY29" fmla="*/ 340527 h 828675"/>
                <a:gd name="connsiteX30" fmla="*/ 722681 w 1466850"/>
                <a:gd name="connsiteY30" fmla="*/ 355128 h 828675"/>
                <a:gd name="connsiteX31" fmla="*/ 722681 w 1466850"/>
                <a:gd name="connsiteY31" fmla="*/ 361578 h 828675"/>
                <a:gd name="connsiteX32" fmla="*/ 730594 w 1466850"/>
                <a:gd name="connsiteY32" fmla="*/ 367513 h 828675"/>
                <a:gd name="connsiteX33" fmla="*/ 759084 w 1466850"/>
                <a:gd name="connsiteY33" fmla="*/ 367513 h 828675"/>
                <a:gd name="connsiteX34" fmla="*/ 785832 w 1466850"/>
                <a:gd name="connsiteY34" fmla="*/ 371826 h 828675"/>
                <a:gd name="connsiteX35" fmla="*/ 811947 w 1466850"/>
                <a:gd name="connsiteY35" fmla="*/ 371826 h 828675"/>
                <a:gd name="connsiteX36" fmla="*/ 835372 w 1466850"/>
                <a:gd name="connsiteY36" fmla="*/ 367513 h 828675"/>
                <a:gd name="connsiteX37" fmla="*/ 859271 w 1466850"/>
                <a:gd name="connsiteY37" fmla="*/ 357265 h 828675"/>
                <a:gd name="connsiteX38" fmla="*/ 876840 w 1466850"/>
                <a:gd name="connsiteY38" fmla="*/ 351883 h 828675"/>
                <a:gd name="connsiteX39" fmla="*/ 892825 w 1466850"/>
                <a:gd name="connsiteY39" fmla="*/ 351329 h 828675"/>
                <a:gd name="connsiteX40" fmla="*/ 892825 w 1466850"/>
                <a:gd name="connsiteY40" fmla="*/ 342703 h 828675"/>
                <a:gd name="connsiteX41" fmla="*/ 893300 w 1466850"/>
                <a:gd name="connsiteY41" fmla="*/ 315718 h 828675"/>
                <a:gd name="connsiteX42" fmla="*/ 892192 w 1466850"/>
                <a:gd name="connsiteY42" fmla="*/ 298980 h 828675"/>
                <a:gd name="connsiteX43" fmla="*/ 921315 w 1466850"/>
                <a:gd name="connsiteY43" fmla="*/ 264951 h 828675"/>
                <a:gd name="connsiteX44" fmla="*/ 951387 w 1466850"/>
                <a:gd name="connsiteY44" fmla="*/ 276861 h 828675"/>
                <a:gd name="connsiteX45" fmla="*/ 988423 w 1466850"/>
                <a:gd name="connsiteY45" fmla="*/ 235829 h 828675"/>
                <a:gd name="connsiteX46" fmla="*/ 984941 w 1466850"/>
                <a:gd name="connsiteY46" fmla="*/ 193728 h 828675"/>
                <a:gd name="connsiteX47" fmla="*/ 1002035 w 1466850"/>
                <a:gd name="connsiteY47" fmla="*/ 176476 h 828675"/>
                <a:gd name="connsiteX48" fmla="*/ 995862 w 1466850"/>
                <a:gd name="connsiteY48" fmla="*/ 164051 h 828675"/>
                <a:gd name="connsiteX49" fmla="*/ 1006625 w 1466850"/>
                <a:gd name="connsiteY49" fmla="*/ 152181 h 828675"/>
                <a:gd name="connsiteX50" fmla="*/ 1006625 w 1466850"/>
                <a:gd name="connsiteY50" fmla="*/ 145138 h 828675"/>
                <a:gd name="connsiteX51" fmla="*/ 1021977 w 1466850"/>
                <a:gd name="connsiteY51" fmla="*/ 146245 h 828675"/>
                <a:gd name="connsiteX52" fmla="*/ 1048092 w 1466850"/>
                <a:gd name="connsiteY52" fmla="*/ 154317 h 828675"/>
                <a:gd name="connsiteX53" fmla="*/ 1068668 w 1466850"/>
                <a:gd name="connsiteY53" fmla="*/ 160807 h 828675"/>
                <a:gd name="connsiteX54" fmla="*/ 1073733 w 1466850"/>
                <a:gd name="connsiteY54" fmla="*/ 159738 h 828675"/>
                <a:gd name="connsiteX55" fmla="*/ 1076265 w 1466850"/>
                <a:gd name="connsiteY55" fmla="*/ 154317 h 828675"/>
                <a:gd name="connsiteX56" fmla="*/ 1128971 w 1466850"/>
                <a:gd name="connsiteY56" fmla="*/ 161361 h 828675"/>
                <a:gd name="connsiteX57" fmla="*/ 1141158 w 1466850"/>
                <a:gd name="connsiteY57" fmla="*/ 0 h 828675"/>
                <a:gd name="connsiteX58" fmla="*/ 1472584 w 1466850"/>
                <a:gd name="connsiteY58" fmla="*/ 236897 h 828675"/>
                <a:gd name="connsiteX59" fmla="*/ 1365749 w 1466850"/>
                <a:gd name="connsiteY59" fmla="*/ 572636 h 828675"/>
                <a:gd name="connsiteX60" fmla="*/ 1341691 w 1466850"/>
                <a:gd name="connsiteY60" fmla="*/ 597446 h 828675"/>
                <a:gd name="connsiteX61" fmla="*/ 1323648 w 1466850"/>
                <a:gd name="connsiteY61" fmla="*/ 601759 h 828675"/>
                <a:gd name="connsiteX62" fmla="*/ 1296267 w 1466850"/>
                <a:gd name="connsiteY62" fmla="*/ 600691 h 828675"/>
                <a:gd name="connsiteX63" fmla="*/ 1263187 w 1466850"/>
                <a:gd name="connsiteY63" fmla="*/ 610424 h 828675"/>
                <a:gd name="connsiteX64" fmla="*/ 1226784 w 1466850"/>
                <a:gd name="connsiteY64" fmla="*/ 611453 h 828675"/>
                <a:gd name="connsiteX65" fmla="*/ 1193863 w 1466850"/>
                <a:gd name="connsiteY65" fmla="*/ 620119 h 828675"/>
                <a:gd name="connsiteX66" fmla="*/ 1173287 w 1466850"/>
                <a:gd name="connsiteY66" fmla="*/ 624432 h 828675"/>
                <a:gd name="connsiteX67" fmla="*/ 1137992 w 1466850"/>
                <a:gd name="connsiteY67" fmla="*/ 629813 h 828675"/>
                <a:gd name="connsiteX68" fmla="*/ 1111877 w 1466850"/>
                <a:gd name="connsiteY68" fmla="*/ 646036 h 828675"/>
                <a:gd name="connsiteX69" fmla="*/ 1094783 w 1466850"/>
                <a:gd name="connsiteY69" fmla="*/ 663288 h 828675"/>
                <a:gd name="connsiteX70" fmla="*/ 1067560 w 1466850"/>
                <a:gd name="connsiteY70" fmla="*/ 689205 h 828675"/>
                <a:gd name="connsiteX71" fmla="*/ 1050467 w 1466850"/>
                <a:gd name="connsiteY71" fmla="*/ 712947 h 828675"/>
                <a:gd name="connsiteX72" fmla="*/ 1035589 w 1466850"/>
                <a:gd name="connsiteY72" fmla="*/ 734551 h 828675"/>
                <a:gd name="connsiteX73" fmla="*/ 1024193 w 1466850"/>
                <a:gd name="connsiteY73" fmla="*/ 762605 h 828675"/>
                <a:gd name="connsiteX74" fmla="*/ 1003776 w 1466850"/>
                <a:gd name="connsiteY74" fmla="*/ 775584 h 828675"/>
                <a:gd name="connsiteX75" fmla="*/ 991272 w 1466850"/>
                <a:gd name="connsiteY75" fmla="*/ 788523 h 828675"/>
                <a:gd name="connsiteX76" fmla="*/ 986682 w 1466850"/>
                <a:gd name="connsiteY76" fmla="*/ 803638 h 828675"/>
                <a:gd name="connsiteX77" fmla="*/ 977502 w 1466850"/>
                <a:gd name="connsiteY77" fmla="*/ 816577 h 828675"/>
                <a:gd name="connsiteX78" fmla="*/ 949171 w 1466850"/>
                <a:gd name="connsiteY78" fmla="*/ 833868 h 828675"/>
                <a:gd name="connsiteX79" fmla="*/ 939991 w 1466850"/>
                <a:gd name="connsiteY79" fmla="*/ 817645 h 828675"/>
                <a:gd name="connsiteX80" fmla="*/ 929862 w 1466850"/>
                <a:gd name="connsiteY80" fmla="*/ 812264 h 828675"/>
                <a:gd name="connsiteX81" fmla="*/ 894566 w 1466850"/>
                <a:gd name="connsiteY81" fmla="*/ 766918 h 828675"/>
                <a:gd name="connsiteX82" fmla="*/ 886494 w 1466850"/>
                <a:gd name="connsiteY82" fmla="*/ 763674 h 828675"/>
                <a:gd name="connsiteX83" fmla="*/ 845501 w 1466850"/>
                <a:gd name="connsiteY83" fmla="*/ 763674 h 828675"/>
                <a:gd name="connsiteX84" fmla="*/ 829674 w 1466850"/>
                <a:gd name="connsiteY84" fmla="*/ 757224 h 828675"/>
                <a:gd name="connsiteX85" fmla="*/ 821602 w 1466850"/>
                <a:gd name="connsiteY85" fmla="*/ 741001 h 828675"/>
                <a:gd name="connsiteX86" fmla="*/ 806882 w 1466850"/>
                <a:gd name="connsiteY86" fmla="*/ 702184 h 828675"/>
                <a:gd name="connsiteX87" fmla="*/ 769371 w 1466850"/>
                <a:gd name="connsiteY87" fmla="*/ 695655 h 828675"/>
                <a:gd name="connsiteX88" fmla="*/ 761299 w 1466850"/>
                <a:gd name="connsiteY88" fmla="*/ 701076 h 828675"/>
                <a:gd name="connsiteX89" fmla="*/ 703371 w 1466850"/>
                <a:gd name="connsiteY89" fmla="*/ 697831 h 828675"/>
                <a:gd name="connsiteX90" fmla="*/ 696407 w 1466850"/>
                <a:gd name="connsiteY90" fmla="*/ 700008 h 828675"/>
                <a:gd name="connsiteX91" fmla="*/ 669817 w 1466850"/>
                <a:gd name="connsiteY91" fmla="*/ 694033 h 828675"/>
                <a:gd name="connsiteX92" fmla="*/ 647500 w 1466850"/>
                <a:gd name="connsiteY92" fmla="*/ 688652 h 828675"/>
                <a:gd name="connsiteX93" fmla="*/ 621860 w 1466850"/>
                <a:gd name="connsiteY93" fmla="*/ 687029 h 828675"/>
                <a:gd name="connsiteX94" fmla="*/ 595270 w 1466850"/>
                <a:gd name="connsiteY94" fmla="*/ 684339 h 828675"/>
                <a:gd name="connsiteX95" fmla="*/ 567255 w 1466850"/>
                <a:gd name="connsiteY95" fmla="*/ 684339 h 828675"/>
                <a:gd name="connsiteX96" fmla="*/ 517240 w 1466850"/>
                <a:gd name="connsiteY96" fmla="*/ 683270 h 828675"/>
                <a:gd name="connsiteX97" fmla="*/ 479096 w 1466850"/>
                <a:gd name="connsiteY97" fmla="*/ 679472 h 828675"/>
                <a:gd name="connsiteX98" fmla="*/ 431931 w 1466850"/>
                <a:gd name="connsiteY98" fmla="*/ 677335 h 828675"/>
                <a:gd name="connsiteX99" fmla="*/ 408506 w 1466850"/>
                <a:gd name="connsiteY99" fmla="*/ 677335 h 828675"/>
                <a:gd name="connsiteX100" fmla="*/ 399484 w 1466850"/>
                <a:gd name="connsiteY100" fmla="*/ 677889 h 828675"/>
                <a:gd name="connsiteX101" fmla="*/ 388563 w 1466850"/>
                <a:gd name="connsiteY101" fmla="*/ 675159 h 828675"/>
                <a:gd name="connsiteX102" fmla="*/ 383499 w 1466850"/>
                <a:gd name="connsiteY102" fmla="*/ 674090 h 828675"/>
                <a:gd name="connsiteX103" fmla="*/ 376693 w 1466850"/>
                <a:gd name="connsiteY103" fmla="*/ 667601 h 828675"/>
                <a:gd name="connsiteX104" fmla="*/ 372103 w 1466850"/>
                <a:gd name="connsiteY104" fmla="*/ 657907 h 828675"/>
                <a:gd name="connsiteX105" fmla="*/ 370362 w 1466850"/>
                <a:gd name="connsiteY105" fmla="*/ 634126 h 828675"/>
                <a:gd name="connsiteX106" fmla="*/ 362448 w 1466850"/>
                <a:gd name="connsiteY106" fmla="*/ 624155 h 828675"/>
                <a:gd name="connsiteX107" fmla="*/ 353585 w 1466850"/>
                <a:gd name="connsiteY107" fmla="*/ 607971 h 828675"/>
                <a:gd name="connsiteX108" fmla="*/ 350261 w 1466850"/>
                <a:gd name="connsiteY108" fmla="*/ 611216 h 828675"/>
                <a:gd name="connsiteX109" fmla="*/ 309901 w 1466850"/>
                <a:gd name="connsiteY109" fmla="*/ 628191 h 828675"/>
                <a:gd name="connsiteX110" fmla="*/ 304362 w 1466850"/>
                <a:gd name="connsiteY110" fmla="*/ 631989 h 828675"/>
                <a:gd name="connsiteX111" fmla="*/ 291066 w 1466850"/>
                <a:gd name="connsiteY111" fmla="*/ 635234 h 828675"/>
                <a:gd name="connsiteX112" fmla="*/ 284735 w 1466850"/>
                <a:gd name="connsiteY112" fmla="*/ 635748 h 828675"/>
                <a:gd name="connsiteX113" fmla="*/ 257987 w 1466850"/>
                <a:gd name="connsiteY113" fmla="*/ 634957 h 828675"/>
                <a:gd name="connsiteX114" fmla="*/ 248016 w 1466850"/>
                <a:gd name="connsiteY114" fmla="*/ 635748 h 828675"/>
                <a:gd name="connsiteX115" fmla="*/ 222534 w 1466850"/>
                <a:gd name="connsiteY115" fmla="*/ 638716 h 828675"/>
                <a:gd name="connsiteX116" fmla="*/ 220160 w 1466850"/>
                <a:gd name="connsiteY116" fmla="*/ 637648 h 828675"/>
                <a:gd name="connsiteX117" fmla="*/ 169037 w 1466850"/>
                <a:gd name="connsiteY117" fmla="*/ 641684 h 828675"/>
                <a:gd name="connsiteX118" fmla="*/ 110950 w 1466850"/>
                <a:gd name="connsiteY118" fmla="*/ 641684 h 828675"/>
                <a:gd name="connsiteX119" fmla="*/ 67108 w 1466850"/>
                <a:gd name="connsiteY119" fmla="*/ 643306 h 828675"/>
                <a:gd name="connsiteX120" fmla="*/ 42101 w 1466850"/>
                <a:gd name="connsiteY120" fmla="*/ 642792 h 828675"/>
                <a:gd name="connsiteX121" fmla="*/ 22158 w 1466850"/>
                <a:gd name="connsiteY121" fmla="*/ 644414 h 828675"/>
                <a:gd name="connsiteX122" fmla="*/ 7439 w 1466850"/>
                <a:gd name="connsiteY122" fmla="*/ 577464 h 828675"/>
                <a:gd name="connsiteX123" fmla="*/ 0 w 1466850"/>
                <a:gd name="connsiteY123" fmla="*/ 500305 h 828675"/>
                <a:gd name="connsiteX124" fmla="*/ 3957 w 1466850"/>
                <a:gd name="connsiteY124" fmla="*/ 433909 h 828675"/>
                <a:gd name="connsiteX125" fmla="*/ 10763 w 1466850"/>
                <a:gd name="connsiteY125" fmla="*/ 386941 h 828675"/>
                <a:gd name="connsiteX126" fmla="*/ 20417 w 1466850"/>
                <a:gd name="connsiteY126" fmla="*/ 328103 h 828675"/>
                <a:gd name="connsiteX127" fmla="*/ 37036 w 1466850"/>
                <a:gd name="connsiteY127" fmla="*/ 295221 h 828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Lst>
              <a:rect l="l" t="t" r="r" b="b"/>
              <a:pathLst>
                <a:path w="1466850" h="828675">
                  <a:moveTo>
                    <a:pt x="37036" y="295221"/>
                  </a:moveTo>
                  <a:lnTo>
                    <a:pt x="37036" y="295221"/>
                  </a:lnTo>
                  <a:lnTo>
                    <a:pt x="81353" y="294113"/>
                  </a:lnTo>
                  <a:lnTo>
                    <a:pt x="116015" y="295221"/>
                  </a:lnTo>
                  <a:lnTo>
                    <a:pt x="126303" y="281174"/>
                  </a:lnTo>
                  <a:lnTo>
                    <a:pt x="125670" y="254189"/>
                  </a:lnTo>
                  <a:lnTo>
                    <a:pt x="151310" y="215847"/>
                  </a:lnTo>
                  <a:lnTo>
                    <a:pt x="175843" y="218577"/>
                  </a:lnTo>
                  <a:lnTo>
                    <a:pt x="191670" y="205638"/>
                  </a:lnTo>
                  <a:lnTo>
                    <a:pt x="205915" y="205638"/>
                  </a:lnTo>
                  <a:lnTo>
                    <a:pt x="226965" y="200217"/>
                  </a:lnTo>
                  <a:lnTo>
                    <a:pt x="226491" y="191037"/>
                  </a:lnTo>
                  <a:lnTo>
                    <a:pt x="267958" y="196458"/>
                  </a:lnTo>
                  <a:lnTo>
                    <a:pt x="322088" y="201839"/>
                  </a:lnTo>
                  <a:lnTo>
                    <a:pt x="363556" y="204530"/>
                  </a:lnTo>
                  <a:lnTo>
                    <a:pt x="385240" y="204016"/>
                  </a:lnTo>
                  <a:lnTo>
                    <a:pt x="420535" y="207221"/>
                  </a:lnTo>
                  <a:lnTo>
                    <a:pt x="481312" y="213156"/>
                  </a:lnTo>
                  <a:lnTo>
                    <a:pt x="533226" y="219091"/>
                  </a:lnTo>
                  <a:lnTo>
                    <a:pt x="550795" y="177544"/>
                  </a:lnTo>
                  <a:lnTo>
                    <a:pt x="558234" y="184033"/>
                  </a:lnTo>
                  <a:lnTo>
                    <a:pt x="559975" y="192105"/>
                  </a:lnTo>
                  <a:lnTo>
                    <a:pt x="562823" y="207221"/>
                  </a:lnTo>
                  <a:lnTo>
                    <a:pt x="567255" y="234206"/>
                  </a:lnTo>
                  <a:lnTo>
                    <a:pt x="572478" y="240142"/>
                  </a:lnTo>
                  <a:lnTo>
                    <a:pt x="602075" y="238005"/>
                  </a:lnTo>
                  <a:lnTo>
                    <a:pt x="609356" y="248253"/>
                  </a:lnTo>
                  <a:lnTo>
                    <a:pt x="701630" y="308714"/>
                  </a:lnTo>
                  <a:lnTo>
                    <a:pt x="716350" y="327588"/>
                  </a:lnTo>
                  <a:lnTo>
                    <a:pt x="722047" y="340527"/>
                  </a:lnTo>
                  <a:lnTo>
                    <a:pt x="722681" y="355128"/>
                  </a:lnTo>
                  <a:lnTo>
                    <a:pt x="722681" y="361578"/>
                  </a:lnTo>
                  <a:lnTo>
                    <a:pt x="730594" y="367513"/>
                  </a:lnTo>
                  <a:lnTo>
                    <a:pt x="759084" y="367513"/>
                  </a:lnTo>
                  <a:lnTo>
                    <a:pt x="785832" y="371826"/>
                  </a:lnTo>
                  <a:lnTo>
                    <a:pt x="811947" y="371826"/>
                  </a:lnTo>
                  <a:lnTo>
                    <a:pt x="835372" y="367513"/>
                  </a:lnTo>
                  <a:lnTo>
                    <a:pt x="859271" y="357265"/>
                  </a:lnTo>
                  <a:lnTo>
                    <a:pt x="876840" y="351883"/>
                  </a:lnTo>
                  <a:lnTo>
                    <a:pt x="892825" y="351329"/>
                  </a:lnTo>
                  <a:lnTo>
                    <a:pt x="892825" y="342703"/>
                  </a:lnTo>
                  <a:lnTo>
                    <a:pt x="893300" y="315718"/>
                  </a:lnTo>
                  <a:lnTo>
                    <a:pt x="892192" y="298980"/>
                  </a:lnTo>
                  <a:lnTo>
                    <a:pt x="921315" y="264951"/>
                  </a:lnTo>
                  <a:lnTo>
                    <a:pt x="951387" y="276861"/>
                  </a:lnTo>
                  <a:lnTo>
                    <a:pt x="988423" y="235829"/>
                  </a:lnTo>
                  <a:lnTo>
                    <a:pt x="984941" y="193728"/>
                  </a:lnTo>
                  <a:lnTo>
                    <a:pt x="1002035" y="176476"/>
                  </a:lnTo>
                  <a:lnTo>
                    <a:pt x="995862" y="164051"/>
                  </a:lnTo>
                  <a:lnTo>
                    <a:pt x="1006625" y="152181"/>
                  </a:lnTo>
                  <a:lnTo>
                    <a:pt x="1006625" y="145138"/>
                  </a:lnTo>
                  <a:lnTo>
                    <a:pt x="1021977" y="146245"/>
                  </a:lnTo>
                  <a:lnTo>
                    <a:pt x="1048092" y="154317"/>
                  </a:lnTo>
                  <a:lnTo>
                    <a:pt x="1068668" y="160807"/>
                  </a:lnTo>
                  <a:lnTo>
                    <a:pt x="1073733" y="159738"/>
                  </a:lnTo>
                  <a:lnTo>
                    <a:pt x="1076265" y="154317"/>
                  </a:lnTo>
                  <a:lnTo>
                    <a:pt x="1128971" y="161361"/>
                  </a:lnTo>
                  <a:lnTo>
                    <a:pt x="1141158" y="0"/>
                  </a:lnTo>
                  <a:lnTo>
                    <a:pt x="1472584" y="236897"/>
                  </a:lnTo>
                  <a:lnTo>
                    <a:pt x="1365749" y="572636"/>
                  </a:lnTo>
                  <a:lnTo>
                    <a:pt x="1341691" y="597446"/>
                  </a:lnTo>
                  <a:lnTo>
                    <a:pt x="1323648" y="601759"/>
                  </a:lnTo>
                  <a:lnTo>
                    <a:pt x="1296267" y="600691"/>
                  </a:lnTo>
                  <a:lnTo>
                    <a:pt x="1263187" y="610424"/>
                  </a:lnTo>
                  <a:lnTo>
                    <a:pt x="1226784" y="611453"/>
                  </a:lnTo>
                  <a:lnTo>
                    <a:pt x="1193863" y="620119"/>
                  </a:lnTo>
                  <a:lnTo>
                    <a:pt x="1173287" y="624432"/>
                  </a:lnTo>
                  <a:lnTo>
                    <a:pt x="1137992" y="629813"/>
                  </a:lnTo>
                  <a:lnTo>
                    <a:pt x="1111877" y="646036"/>
                  </a:lnTo>
                  <a:lnTo>
                    <a:pt x="1094783" y="663288"/>
                  </a:lnTo>
                  <a:lnTo>
                    <a:pt x="1067560" y="689205"/>
                  </a:lnTo>
                  <a:lnTo>
                    <a:pt x="1050467" y="712947"/>
                  </a:lnTo>
                  <a:lnTo>
                    <a:pt x="1035589" y="734551"/>
                  </a:lnTo>
                  <a:lnTo>
                    <a:pt x="1024193" y="762605"/>
                  </a:lnTo>
                  <a:lnTo>
                    <a:pt x="1003776" y="775584"/>
                  </a:lnTo>
                  <a:lnTo>
                    <a:pt x="991272" y="788523"/>
                  </a:lnTo>
                  <a:lnTo>
                    <a:pt x="986682" y="803638"/>
                  </a:lnTo>
                  <a:lnTo>
                    <a:pt x="977502" y="816577"/>
                  </a:lnTo>
                  <a:lnTo>
                    <a:pt x="949171" y="833868"/>
                  </a:lnTo>
                  <a:lnTo>
                    <a:pt x="939991" y="817645"/>
                  </a:lnTo>
                  <a:lnTo>
                    <a:pt x="929862" y="812264"/>
                  </a:lnTo>
                  <a:lnTo>
                    <a:pt x="894566" y="766918"/>
                  </a:lnTo>
                  <a:lnTo>
                    <a:pt x="886494" y="763674"/>
                  </a:lnTo>
                  <a:lnTo>
                    <a:pt x="845501" y="763674"/>
                  </a:lnTo>
                  <a:lnTo>
                    <a:pt x="829674" y="757224"/>
                  </a:lnTo>
                  <a:lnTo>
                    <a:pt x="821602" y="741001"/>
                  </a:lnTo>
                  <a:lnTo>
                    <a:pt x="806882" y="702184"/>
                  </a:lnTo>
                  <a:lnTo>
                    <a:pt x="769371" y="695655"/>
                  </a:lnTo>
                  <a:lnTo>
                    <a:pt x="761299" y="701076"/>
                  </a:lnTo>
                  <a:lnTo>
                    <a:pt x="703371" y="697831"/>
                  </a:lnTo>
                  <a:lnTo>
                    <a:pt x="696407" y="700008"/>
                  </a:lnTo>
                  <a:lnTo>
                    <a:pt x="669817" y="694033"/>
                  </a:lnTo>
                  <a:lnTo>
                    <a:pt x="647500" y="688652"/>
                  </a:lnTo>
                  <a:lnTo>
                    <a:pt x="621860" y="687029"/>
                  </a:lnTo>
                  <a:lnTo>
                    <a:pt x="595270" y="684339"/>
                  </a:lnTo>
                  <a:lnTo>
                    <a:pt x="567255" y="684339"/>
                  </a:lnTo>
                  <a:lnTo>
                    <a:pt x="517240" y="683270"/>
                  </a:lnTo>
                  <a:lnTo>
                    <a:pt x="479096" y="679472"/>
                  </a:lnTo>
                  <a:lnTo>
                    <a:pt x="431931" y="677335"/>
                  </a:lnTo>
                  <a:lnTo>
                    <a:pt x="408506" y="677335"/>
                  </a:lnTo>
                  <a:lnTo>
                    <a:pt x="399484" y="677889"/>
                  </a:lnTo>
                  <a:lnTo>
                    <a:pt x="388563" y="675159"/>
                  </a:lnTo>
                  <a:lnTo>
                    <a:pt x="383499" y="674090"/>
                  </a:lnTo>
                  <a:lnTo>
                    <a:pt x="376693" y="667601"/>
                  </a:lnTo>
                  <a:lnTo>
                    <a:pt x="372103" y="657907"/>
                  </a:lnTo>
                  <a:lnTo>
                    <a:pt x="370362" y="634126"/>
                  </a:lnTo>
                  <a:lnTo>
                    <a:pt x="362448" y="624155"/>
                  </a:lnTo>
                  <a:lnTo>
                    <a:pt x="353585" y="607971"/>
                  </a:lnTo>
                  <a:lnTo>
                    <a:pt x="350261" y="611216"/>
                  </a:lnTo>
                  <a:lnTo>
                    <a:pt x="309901" y="628191"/>
                  </a:lnTo>
                  <a:lnTo>
                    <a:pt x="304362" y="631989"/>
                  </a:lnTo>
                  <a:lnTo>
                    <a:pt x="291066" y="635234"/>
                  </a:lnTo>
                  <a:lnTo>
                    <a:pt x="284735" y="635748"/>
                  </a:lnTo>
                  <a:lnTo>
                    <a:pt x="257987" y="634957"/>
                  </a:lnTo>
                  <a:lnTo>
                    <a:pt x="248016" y="635748"/>
                  </a:lnTo>
                  <a:lnTo>
                    <a:pt x="222534" y="638716"/>
                  </a:lnTo>
                  <a:lnTo>
                    <a:pt x="220160" y="637648"/>
                  </a:lnTo>
                  <a:lnTo>
                    <a:pt x="169037" y="641684"/>
                  </a:lnTo>
                  <a:lnTo>
                    <a:pt x="110950" y="641684"/>
                  </a:lnTo>
                  <a:lnTo>
                    <a:pt x="67108" y="643306"/>
                  </a:lnTo>
                  <a:lnTo>
                    <a:pt x="42101" y="642792"/>
                  </a:lnTo>
                  <a:lnTo>
                    <a:pt x="22158" y="644414"/>
                  </a:lnTo>
                  <a:lnTo>
                    <a:pt x="7439" y="577464"/>
                  </a:lnTo>
                  <a:lnTo>
                    <a:pt x="0" y="500305"/>
                  </a:lnTo>
                  <a:lnTo>
                    <a:pt x="3957" y="433909"/>
                  </a:lnTo>
                  <a:lnTo>
                    <a:pt x="10763" y="386941"/>
                  </a:lnTo>
                  <a:lnTo>
                    <a:pt x="20417" y="328103"/>
                  </a:lnTo>
                  <a:lnTo>
                    <a:pt x="37036" y="295221"/>
                  </a:lnTo>
                </a:path>
              </a:pathLst>
            </a:custGeom>
            <a:solidFill>
              <a:srgbClr val="375623"/>
            </a:solidFill>
            <a:ln w="5132" cap="flat">
              <a:solidFill>
                <a:srgbClr val="030000"/>
              </a:solidFill>
              <a:prstDash val="solid"/>
              <a:miter/>
            </a:ln>
          </xdr:spPr>
          <xdr:txBody>
            <a:bodyPr rtlCol="0" anchor="ctr"/>
            <a:lstStyle/>
            <a:p>
              <a:endParaRPr lang="en-US"/>
            </a:p>
          </xdr:txBody>
        </xdr:sp>
        <xdr:sp macro="" textlink="">
          <xdr:nvSpPr>
            <xdr:cNvPr id="110" name="25_1">
              <a:extLst>
                <a:ext uri="{FF2B5EF4-FFF2-40B4-BE49-F238E27FC236}">
                  <a16:creationId xmlns:a16="http://schemas.microsoft.com/office/drawing/2014/main" id="{D2976C96-C701-6A49-AE80-17D7DB58B69C}"/>
                </a:ext>
              </a:extLst>
            </xdr:cNvPr>
            <xdr:cNvSpPr/>
          </xdr:nvSpPr>
          <xdr:spPr>
            <a:xfrm>
              <a:off x="6414974" y="4318246"/>
              <a:ext cx="643467" cy="1250950"/>
            </a:xfrm>
            <a:custGeom>
              <a:avLst/>
              <a:gdLst>
                <a:gd name="connsiteX0" fmla="*/ 281728 w 647700"/>
                <a:gd name="connsiteY0" fmla="*/ 0 h 1200150"/>
                <a:gd name="connsiteX1" fmla="*/ 281728 w 647700"/>
                <a:gd name="connsiteY1" fmla="*/ 0 h 1200150"/>
                <a:gd name="connsiteX2" fmla="*/ 380650 w 647700"/>
                <a:gd name="connsiteY2" fmla="*/ 144584 h 1200150"/>
                <a:gd name="connsiteX3" fmla="*/ 424017 w 647700"/>
                <a:gd name="connsiteY3" fmla="*/ 207735 h 1200150"/>
                <a:gd name="connsiteX4" fmla="*/ 448391 w 647700"/>
                <a:gd name="connsiteY4" fmla="*/ 243347 h 1200150"/>
                <a:gd name="connsiteX5" fmla="*/ 656680 w 647700"/>
                <a:gd name="connsiteY5" fmla="*/ 454880 h 1200150"/>
                <a:gd name="connsiteX6" fmla="*/ 625342 w 647700"/>
                <a:gd name="connsiteY6" fmla="*/ 448391 h 1200150"/>
                <a:gd name="connsiteX7" fmla="*/ 589572 w 647700"/>
                <a:gd name="connsiteY7" fmla="*/ 444078 h 1200150"/>
                <a:gd name="connsiteX8" fmla="*/ 585615 w 647700"/>
                <a:gd name="connsiteY8" fmla="*/ 537935 h 1200150"/>
                <a:gd name="connsiteX9" fmla="*/ 580392 w 647700"/>
                <a:gd name="connsiteY9" fmla="*/ 544464 h 1200150"/>
                <a:gd name="connsiteX10" fmla="*/ 567888 w 647700"/>
                <a:gd name="connsiteY10" fmla="*/ 546086 h 1200150"/>
                <a:gd name="connsiteX11" fmla="*/ 561082 w 647700"/>
                <a:gd name="connsiteY11" fmla="*/ 587079 h 1200150"/>
                <a:gd name="connsiteX12" fmla="*/ 533226 w 647700"/>
                <a:gd name="connsiteY12" fmla="*/ 643741 h 1200150"/>
                <a:gd name="connsiteX13" fmla="*/ 551428 w 647700"/>
                <a:gd name="connsiteY13" fmla="*/ 644256 h 1200150"/>
                <a:gd name="connsiteX14" fmla="*/ 572478 w 647700"/>
                <a:gd name="connsiteY14" fmla="*/ 707407 h 1200150"/>
                <a:gd name="connsiteX15" fmla="*/ 563298 w 647700"/>
                <a:gd name="connsiteY15" fmla="*/ 748954 h 1200150"/>
                <a:gd name="connsiteX16" fmla="*/ 561082 w 647700"/>
                <a:gd name="connsiteY16" fmla="*/ 783497 h 1200150"/>
                <a:gd name="connsiteX17" fmla="*/ 565039 w 647700"/>
                <a:gd name="connsiteY17" fmla="*/ 859034 h 1200150"/>
                <a:gd name="connsiteX18" fmla="*/ 566147 w 647700"/>
                <a:gd name="connsiteY18" fmla="*/ 1002589 h 1200150"/>
                <a:gd name="connsiteX19" fmla="*/ 562190 w 647700"/>
                <a:gd name="connsiteY19" fmla="*/ 1010700 h 1200150"/>
                <a:gd name="connsiteX20" fmla="*/ 568521 w 647700"/>
                <a:gd name="connsiteY20" fmla="*/ 1034441 h 1200150"/>
                <a:gd name="connsiteX21" fmla="*/ 526420 w 647700"/>
                <a:gd name="connsiteY21" fmla="*/ 1053870 h 1200150"/>
                <a:gd name="connsiteX22" fmla="*/ 513284 w 647700"/>
                <a:gd name="connsiteY22" fmla="*/ 1082478 h 1200150"/>
                <a:gd name="connsiteX23" fmla="*/ 495715 w 647700"/>
                <a:gd name="connsiteY23" fmla="*/ 1124025 h 1200150"/>
                <a:gd name="connsiteX24" fmla="*/ 443801 w 647700"/>
                <a:gd name="connsiteY24" fmla="*/ 1118089 h 1200150"/>
                <a:gd name="connsiteX25" fmla="*/ 383024 w 647700"/>
                <a:gd name="connsiteY25" fmla="*/ 1112154 h 1200150"/>
                <a:gd name="connsiteX26" fmla="*/ 347729 w 647700"/>
                <a:gd name="connsiteY26" fmla="*/ 1108949 h 1200150"/>
                <a:gd name="connsiteX27" fmla="*/ 326045 w 647700"/>
                <a:gd name="connsiteY27" fmla="*/ 1109463 h 1200150"/>
                <a:gd name="connsiteX28" fmla="*/ 284577 w 647700"/>
                <a:gd name="connsiteY28" fmla="*/ 1106773 h 1200150"/>
                <a:gd name="connsiteX29" fmla="*/ 230447 w 647700"/>
                <a:gd name="connsiteY29" fmla="*/ 1101391 h 1200150"/>
                <a:gd name="connsiteX30" fmla="*/ 188980 w 647700"/>
                <a:gd name="connsiteY30" fmla="*/ 1095970 h 1200150"/>
                <a:gd name="connsiteX31" fmla="*/ 189454 w 647700"/>
                <a:gd name="connsiteY31" fmla="*/ 1105150 h 1200150"/>
                <a:gd name="connsiteX32" fmla="*/ 168404 w 647700"/>
                <a:gd name="connsiteY32" fmla="*/ 1110571 h 1200150"/>
                <a:gd name="connsiteX33" fmla="*/ 154159 w 647700"/>
                <a:gd name="connsiteY33" fmla="*/ 1110571 h 1200150"/>
                <a:gd name="connsiteX34" fmla="*/ 138332 w 647700"/>
                <a:gd name="connsiteY34" fmla="*/ 1123510 h 1200150"/>
                <a:gd name="connsiteX35" fmla="*/ 113799 w 647700"/>
                <a:gd name="connsiteY35" fmla="*/ 1120780 h 1200150"/>
                <a:gd name="connsiteX36" fmla="*/ 88159 w 647700"/>
                <a:gd name="connsiteY36" fmla="*/ 1159122 h 1200150"/>
                <a:gd name="connsiteX37" fmla="*/ 88792 w 647700"/>
                <a:gd name="connsiteY37" fmla="*/ 1186108 h 1200150"/>
                <a:gd name="connsiteX38" fmla="*/ 78504 w 647700"/>
                <a:gd name="connsiteY38" fmla="*/ 1200155 h 1200150"/>
                <a:gd name="connsiteX39" fmla="*/ 43842 w 647700"/>
                <a:gd name="connsiteY39" fmla="*/ 1199047 h 1200150"/>
                <a:gd name="connsiteX40" fmla="*/ 0 w 647700"/>
                <a:gd name="connsiteY40" fmla="*/ 1200155 h 1200150"/>
                <a:gd name="connsiteX41" fmla="*/ 13137 w 647700"/>
                <a:gd name="connsiteY41" fmla="*/ 1161298 h 1200150"/>
                <a:gd name="connsiteX42" fmla="*/ 16461 w 647700"/>
                <a:gd name="connsiteY42" fmla="*/ 1142384 h 1200150"/>
                <a:gd name="connsiteX43" fmla="*/ 21050 w 647700"/>
                <a:gd name="connsiteY43" fmla="*/ 1085722 h 1200150"/>
                <a:gd name="connsiteX44" fmla="*/ 19309 w 647700"/>
                <a:gd name="connsiteY44" fmla="*/ 1066808 h 1200150"/>
                <a:gd name="connsiteX45" fmla="*/ 69166 w 647700"/>
                <a:gd name="connsiteY45" fmla="*/ 1074129 h 1200150"/>
                <a:gd name="connsiteX46" fmla="*/ 67108 w 647700"/>
                <a:gd name="connsiteY46" fmla="*/ 1002312 h 1200150"/>
                <a:gd name="connsiteX47" fmla="*/ 68058 w 647700"/>
                <a:gd name="connsiteY47" fmla="*/ 931088 h 1200150"/>
                <a:gd name="connsiteX48" fmla="*/ 75655 w 647700"/>
                <a:gd name="connsiteY48" fmla="*/ 925430 h 1200150"/>
                <a:gd name="connsiteX49" fmla="*/ 120922 w 647700"/>
                <a:gd name="connsiteY49" fmla="*/ 924639 h 1200150"/>
                <a:gd name="connsiteX50" fmla="*/ 128044 w 647700"/>
                <a:gd name="connsiteY50" fmla="*/ 914628 h 1200150"/>
                <a:gd name="connsiteX51" fmla="*/ 128677 w 647700"/>
                <a:gd name="connsiteY51" fmla="*/ 900066 h 1200150"/>
                <a:gd name="connsiteX52" fmla="*/ 146245 w 647700"/>
                <a:gd name="connsiteY52" fmla="*/ 883883 h 1200150"/>
                <a:gd name="connsiteX53" fmla="*/ 146245 w 647700"/>
                <a:gd name="connsiteY53" fmla="*/ 858005 h 1200150"/>
                <a:gd name="connsiteX54" fmla="*/ 150202 w 647700"/>
                <a:gd name="connsiteY54" fmla="*/ 853652 h 1200150"/>
                <a:gd name="connsiteX55" fmla="*/ 156533 w 647700"/>
                <a:gd name="connsiteY55" fmla="*/ 849340 h 1200150"/>
                <a:gd name="connsiteX56" fmla="*/ 167296 w 647700"/>
                <a:gd name="connsiteY56" fmla="*/ 835293 h 1200150"/>
                <a:gd name="connsiteX57" fmla="*/ 166663 w 647700"/>
                <a:gd name="connsiteY57" fmla="*/ 819663 h 1200150"/>
                <a:gd name="connsiteX58" fmla="*/ 174735 w 647700"/>
                <a:gd name="connsiteY58" fmla="*/ 808307 h 1200150"/>
                <a:gd name="connsiteX59" fmla="*/ 185023 w 647700"/>
                <a:gd name="connsiteY59" fmla="*/ 804033 h 1200150"/>
                <a:gd name="connsiteX60" fmla="*/ 189454 w 647700"/>
                <a:gd name="connsiteY60" fmla="*/ 800235 h 1200150"/>
                <a:gd name="connsiteX61" fmla="*/ 189454 w 647700"/>
                <a:gd name="connsiteY61" fmla="*/ 792677 h 1200150"/>
                <a:gd name="connsiteX62" fmla="*/ 185023 w 647700"/>
                <a:gd name="connsiteY62" fmla="*/ 788364 h 1200150"/>
                <a:gd name="connsiteX63" fmla="*/ 181541 w 647700"/>
                <a:gd name="connsiteY63" fmla="*/ 772695 h 1200150"/>
                <a:gd name="connsiteX64" fmla="*/ 175210 w 647700"/>
                <a:gd name="connsiteY64" fmla="*/ 769451 h 1200150"/>
                <a:gd name="connsiteX65" fmla="*/ 160490 w 647700"/>
                <a:gd name="connsiteY65" fmla="*/ 768936 h 1200150"/>
                <a:gd name="connsiteX66" fmla="*/ 157641 w 647700"/>
                <a:gd name="connsiteY66" fmla="*/ 744641 h 1200150"/>
                <a:gd name="connsiteX67" fmla="*/ 157641 w 647700"/>
                <a:gd name="connsiteY67" fmla="*/ 731148 h 1200150"/>
                <a:gd name="connsiteX68" fmla="*/ 154792 w 647700"/>
                <a:gd name="connsiteY68" fmla="*/ 720346 h 1200150"/>
                <a:gd name="connsiteX69" fmla="*/ 155425 w 647700"/>
                <a:gd name="connsiteY69" fmla="*/ 706893 h 1200150"/>
                <a:gd name="connsiteX70" fmla="*/ 169037 w 647700"/>
                <a:gd name="connsiteY70" fmla="*/ 697159 h 1200150"/>
                <a:gd name="connsiteX71" fmla="*/ 213987 w 647700"/>
                <a:gd name="connsiteY71" fmla="*/ 663169 h 1200150"/>
                <a:gd name="connsiteX72" fmla="*/ 212879 w 647700"/>
                <a:gd name="connsiteY72" fmla="*/ 641051 h 1200150"/>
                <a:gd name="connsiteX73" fmla="*/ 226491 w 647700"/>
                <a:gd name="connsiteY73" fmla="*/ 632385 h 1200150"/>
                <a:gd name="connsiteX74" fmla="*/ 228706 w 647700"/>
                <a:gd name="connsiteY74" fmla="*/ 626489 h 1200150"/>
                <a:gd name="connsiteX75" fmla="*/ 228232 w 647700"/>
                <a:gd name="connsiteY75" fmla="*/ 614065 h 1200150"/>
                <a:gd name="connsiteX76" fmla="*/ 223642 w 647700"/>
                <a:gd name="connsiteY76" fmla="*/ 607576 h 1200150"/>
                <a:gd name="connsiteX77" fmla="*/ 227598 w 647700"/>
                <a:gd name="connsiteY77" fmla="*/ 591906 h 1200150"/>
                <a:gd name="connsiteX78" fmla="*/ 233296 w 647700"/>
                <a:gd name="connsiteY78" fmla="*/ 581144 h 1200150"/>
                <a:gd name="connsiteX79" fmla="*/ 233929 w 647700"/>
                <a:gd name="connsiteY79" fmla="*/ 544464 h 1200150"/>
                <a:gd name="connsiteX80" fmla="*/ 247066 w 647700"/>
                <a:gd name="connsiteY80" fmla="*/ 526104 h 1200150"/>
                <a:gd name="connsiteX81" fmla="*/ 253239 w 647700"/>
                <a:gd name="connsiteY81" fmla="*/ 511503 h 1200150"/>
                <a:gd name="connsiteX82" fmla="*/ 252764 w 647700"/>
                <a:gd name="connsiteY82" fmla="*/ 495319 h 1200150"/>
                <a:gd name="connsiteX83" fmla="*/ 318764 w 647700"/>
                <a:gd name="connsiteY83" fmla="*/ 498564 h 1200150"/>
                <a:gd name="connsiteX84" fmla="*/ 348203 w 647700"/>
                <a:gd name="connsiteY84" fmla="*/ 499672 h 1200150"/>
                <a:gd name="connsiteX85" fmla="*/ 366405 w 647700"/>
                <a:gd name="connsiteY85" fmla="*/ 499672 h 1200150"/>
                <a:gd name="connsiteX86" fmla="*/ 360232 w 647700"/>
                <a:gd name="connsiteY86" fmla="*/ 491006 h 1200150"/>
                <a:gd name="connsiteX87" fmla="*/ 357383 w 647700"/>
                <a:gd name="connsiteY87" fmla="*/ 473201 h 1200150"/>
                <a:gd name="connsiteX88" fmla="*/ 345355 w 647700"/>
                <a:gd name="connsiteY88" fmla="*/ 460262 h 1200150"/>
                <a:gd name="connsiteX89" fmla="*/ 334592 w 647700"/>
                <a:gd name="connsiteY89" fmla="*/ 451082 h 1200150"/>
                <a:gd name="connsiteX90" fmla="*/ 326045 w 647700"/>
                <a:gd name="connsiteY90" fmla="*/ 439765 h 1200150"/>
                <a:gd name="connsiteX91" fmla="*/ 245325 w 647700"/>
                <a:gd name="connsiteY91" fmla="*/ 436521 h 1200150"/>
                <a:gd name="connsiteX92" fmla="*/ 246433 w 647700"/>
                <a:gd name="connsiteY92" fmla="*/ 420337 h 1200150"/>
                <a:gd name="connsiteX93" fmla="*/ 264635 w 647700"/>
                <a:gd name="connsiteY93" fmla="*/ 410089 h 1200150"/>
                <a:gd name="connsiteX94" fmla="*/ 264002 w 647700"/>
                <a:gd name="connsiteY94" fmla="*/ 406290 h 1200150"/>
                <a:gd name="connsiteX95" fmla="*/ 257196 w 647700"/>
                <a:gd name="connsiteY95" fmla="*/ 401423 h 1200150"/>
                <a:gd name="connsiteX96" fmla="*/ 257829 w 647700"/>
                <a:gd name="connsiteY96" fmla="*/ 368542 h 1200150"/>
                <a:gd name="connsiteX97" fmla="*/ 265268 w 647700"/>
                <a:gd name="connsiteY97" fmla="*/ 363675 h 1200150"/>
                <a:gd name="connsiteX98" fmla="*/ 266376 w 647700"/>
                <a:gd name="connsiteY98" fmla="*/ 353387 h 1200150"/>
                <a:gd name="connsiteX99" fmla="*/ 260678 w 647700"/>
                <a:gd name="connsiteY99" fmla="*/ 344247 h 1200150"/>
                <a:gd name="connsiteX100" fmla="*/ 257829 w 647700"/>
                <a:gd name="connsiteY100" fmla="*/ 335067 h 1200150"/>
                <a:gd name="connsiteX101" fmla="*/ 261153 w 647700"/>
                <a:gd name="connsiteY101" fmla="*/ 325887 h 1200150"/>
                <a:gd name="connsiteX102" fmla="*/ 265268 w 647700"/>
                <a:gd name="connsiteY102" fmla="*/ 321059 h 1200150"/>
                <a:gd name="connsiteX103" fmla="*/ 266376 w 647700"/>
                <a:gd name="connsiteY103" fmla="*/ 267088 h 1200150"/>
                <a:gd name="connsiteX104" fmla="*/ 248649 w 647700"/>
                <a:gd name="connsiteY104" fmla="*/ 234167 h 1200150"/>
                <a:gd name="connsiteX105" fmla="*/ 241210 w 647700"/>
                <a:gd name="connsiteY105" fmla="*/ 231991 h 1200150"/>
                <a:gd name="connsiteX106" fmla="*/ 235670 w 647700"/>
                <a:gd name="connsiteY106" fmla="*/ 228232 h 1200150"/>
                <a:gd name="connsiteX107" fmla="*/ 219685 w 647700"/>
                <a:gd name="connsiteY107" fmla="*/ 210426 h 1200150"/>
                <a:gd name="connsiteX108" fmla="*/ 208289 w 647700"/>
                <a:gd name="connsiteY108" fmla="*/ 199109 h 1200150"/>
                <a:gd name="connsiteX109" fmla="*/ 204807 w 647700"/>
                <a:gd name="connsiteY109" fmla="*/ 185062 h 1200150"/>
                <a:gd name="connsiteX110" fmla="*/ 208922 w 647700"/>
                <a:gd name="connsiteY110" fmla="*/ 169947 h 1200150"/>
                <a:gd name="connsiteX111" fmla="*/ 215095 w 647700"/>
                <a:gd name="connsiteY111" fmla="*/ 157008 h 1200150"/>
                <a:gd name="connsiteX112" fmla="*/ 213987 w 647700"/>
                <a:gd name="connsiteY112" fmla="*/ 137580 h 1200150"/>
                <a:gd name="connsiteX113" fmla="*/ 213987 w 647700"/>
                <a:gd name="connsiteY113" fmla="*/ 118152 h 1200150"/>
                <a:gd name="connsiteX114" fmla="*/ 225383 w 647700"/>
                <a:gd name="connsiteY114" fmla="*/ 112216 h 1200150"/>
                <a:gd name="connsiteX115" fmla="*/ 242951 w 647700"/>
                <a:gd name="connsiteY115" fmla="*/ 111702 h 1200150"/>
                <a:gd name="connsiteX116" fmla="*/ 254347 w 647700"/>
                <a:gd name="connsiteY116" fmla="*/ 95519 h 1200150"/>
                <a:gd name="connsiteX117" fmla="*/ 264635 w 647700"/>
                <a:gd name="connsiteY117" fmla="*/ 82026 h 1200150"/>
                <a:gd name="connsiteX118" fmla="*/ 273181 w 647700"/>
                <a:gd name="connsiteY118" fmla="*/ 62044 h 1200150"/>
                <a:gd name="connsiteX119" fmla="*/ 276505 w 647700"/>
                <a:gd name="connsiteY119" fmla="*/ 49105 h 1200150"/>
                <a:gd name="connsiteX120" fmla="*/ 272548 w 647700"/>
                <a:gd name="connsiteY120" fmla="*/ 39925 h 1200150"/>
                <a:gd name="connsiteX121" fmla="*/ 266850 w 647700"/>
                <a:gd name="connsiteY121" fmla="*/ 25324 h 1200150"/>
                <a:gd name="connsiteX122" fmla="*/ 270807 w 647700"/>
                <a:gd name="connsiteY122" fmla="*/ 15630 h 1200150"/>
                <a:gd name="connsiteX123" fmla="*/ 281728 w 647700"/>
                <a:gd name="connsiteY123" fmla="*/ 0 h 12001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Lst>
              <a:rect l="l" t="t" r="r" b="b"/>
              <a:pathLst>
                <a:path w="647700" h="1200150">
                  <a:moveTo>
                    <a:pt x="281728" y="0"/>
                  </a:moveTo>
                  <a:lnTo>
                    <a:pt x="281728" y="0"/>
                  </a:lnTo>
                  <a:lnTo>
                    <a:pt x="380650" y="144584"/>
                  </a:lnTo>
                  <a:lnTo>
                    <a:pt x="424017" y="207735"/>
                  </a:lnTo>
                  <a:lnTo>
                    <a:pt x="448391" y="243347"/>
                  </a:lnTo>
                  <a:lnTo>
                    <a:pt x="656680" y="454880"/>
                  </a:lnTo>
                  <a:lnTo>
                    <a:pt x="625342" y="448391"/>
                  </a:lnTo>
                  <a:lnTo>
                    <a:pt x="589572" y="444078"/>
                  </a:lnTo>
                  <a:lnTo>
                    <a:pt x="585615" y="537935"/>
                  </a:lnTo>
                  <a:lnTo>
                    <a:pt x="580392" y="544464"/>
                  </a:lnTo>
                  <a:lnTo>
                    <a:pt x="567888" y="546086"/>
                  </a:lnTo>
                  <a:lnTo>
                    <a:pt x="561082" y="587079"/>
                  </a:lnTo>
                  <a:lnTo>
                    <a:pt x="533226" y="643741"/>
                  </a:lnTo>
                  <a:lnTo>
                    <a:pt x="551428" y="644256"/>
                  </a:lnTo>
                  <a:lnTo>
                    <a:pt x="572478" y="707407"/>
                  </a:lnTo>
                  <a:lnTo>
                    <a:pt x="563298" y="748954"/>
                  </a:lnTo>
                  <a:lnTo>
                    <a:pt x="561082" y="783497"/>
                  </a:lnTo>
                  <a:lnTo>
                    <a:pt x="565039" y="859034"/>
                  </a:lnTo>
                  <a:lnTo>
                    <a:pt x="566147" y="1002589"/>
                  </a:lnTo>
                  <a:lnTo>
                    <a:pt x="562190" y="1010700"/>
                  </a:lnTo>
                  <a:lnTo>
                    <a:pt x="568521" y="1034441"/>
                  </a:lnTo>
                  <a:lnTo>
                    <a:pt x="526420" y="1053870"/>
                  </a:lnTo>
                  <a:lnTo>
                    <a:pt x="513284" y="1082478"/>
                  </a:lnTo>
                  <a:lnTo>
                    <a:pt x="495715" y="1124025"/>
                  </a:lnTo>
                  <a:lnTo>
                    <a:pt x="443801" y="1118089"/>
                  </a:lnTo>
                  <a:lnTo>
                    <a:pt x="383024" y="1112154"/>
                  </a:lnTo>
                  <a:lnTo>
                    <a:pt x="347729" y="1108949"/>
                  </a:lnTo>
                  <a:lnTo>
                    <a:pt x="326045" y="1109463"/>
                  </a:lnTo>
                  <a:lnTo>
                    <a:pt x="284577" y="1106773"/>
                  </a:lnTo>
                  <a:lnTo>
                    <a:pt x="230447" y="1101391"/>
                  </a:lnTo>
                  <a:lnTo>
                    <a:pt x="188980" y="1095970"/>
                  </a:lnTo>
                  <a:lnTo>
                    <a:pt x="189454" y="1105150"/>
                  </a:lnTo>
                  <a:lnTo>
                    <a:pt x="168404" y="1110571"/>
                  </a:lnTo>
                  <a:lnTo>
                    <a:pt x="154159" y="1110571"/>
                  </a:lnTo>
                  <a:lnTo>
                    <a:pt x="138332" y="1123510"/>
                  </a:lnTo>
                  <a:lnTo>
                    <a:pt x="113799" y="1120780"/>
                  </a:lnTo>
                  <a:lnTo>
                    <a:pt x="88159" y="1159122"/>
                  </a:lnTo>
                  <a:lnTo>
                    <a:pt x="88792" y="1186108"/>
                  </a:lnTo>
                  <a:lnTo>
                    <a:pt x="78504" y="1200155"/>
                  </a:lnTo>
                  <a:lnTo>
                    <a:pt x="43842" y="1199047"/>
                  </a:lnTo>
                  <a:lnTo>
                    <a:pt x="0" y="1200155"/>
                  </a:lnTo>
                  <a:lnTo>
                    <a:pt x="13137" y="1161298"/>
                  </a:lnTo>
                  <a:lnTo>
                    <a:pt x="16461" y="1142384"/>
                  </a:lnTo>
                  <a:lnTo>
                    <a:pt x="21050" y="1085722"/>
                  </a:lnTo>
                  <a:lnTo>
                    <a:pt x="19309" y="1066808"/>
                  </a:lnTo>
                  <a:lnTo>
                    <a:pt x="69166" y="1074129"/>
                  </a:lnTo>
                  <a:lnTo>
                    <a:pt x="67108" y="1002312"/>
                  </a:lnTo>
                  <a:lnTo>
                    <a:pt x="68058" y="931088"/>
                  </a:lnTo>
                  <a:lnTo>
                    <a:pt x="75655" y="925430"/>
                  </a:lnTo>
                  <a:lnTo>
                    <a:pt x="120922" y="924639"/>
                  </a:lnTo>
                  <a:lnTo>
                    <a:pt x="128044" y="914628"/>
                  </a:lnTo>
                  <a:lnTo>
                    <a:pt x="128677" y="900066"/>
                  </a:lnTo>
                  <a:lnTo>
                    <a:pt x="146245" y="883883"/>
                  </a:lnTo>
                  <a:lnTo>
                    <a:pt x="146245" y="858005"/>
                  </a:lnTo>
                  <a:lnTo>
                    <a:pt x="150202" y="853652"/>
                  </a:lnTo>
                  <a:lnTo>
                    <a:pt x="156533" y="849340"/>
                  </a:lnTo>
                  <a:lnTo>
                    <a:pt x="167296" y="835293"/>
                  </a:lnTo>
                  <a:lnTo>
                    <a:pt x="166663" y="819663"/>
                  </a:lnTo>
                  <a:lnTo>
                    <a:pt x="174735" y="808307"/>
                  </a:lnTo>
                  <a:lnTo>
                    <a:pt x="185023" y="804033"/>
                  </a:lnTo>
                  <a:lnTo>
                    <a:pt x="189454" y="800235"/>
                  </a:lnTo>
                  <a:lnTo>
                    <a:pt x="189454" y="792677"/>
                  </a:lnTo>
                  <a:lnTo>
                    <a:pt x="185023" y="788364"/>
                  </a:lnTo>
                  <a:lnTo>
                    <a:pt x="181541" y="772695"/>
                  </a:lnTo>
                  <a:lnTo>
                    <a:pt x="175210" y="769451"/>
                  </a:lnTo>
                  <a:lnTo>
                    <a:pt x="160490" y="768936"/>
                  </a:lnTo>
                  <a:lnTo>
                    <a:pt x="157641" y="744641"/>
                  </a:lnTo>
                  <a:lnTo>
                    <a:pt x="157641" y="731148"/>
                  </a:lnTo>
                  <a:lnTo>
                    <a:pt x="154792" y="720346"/>
                  </a:lnTo>
                  <a:lnTo>
                    <a:pt x="155425" y="706893"/>
                  </a:lnTo>
                  <a:lnTo>
                    <a:pt x="169037" y="697159"/>
                  </a:lnTo>
                  <a:lnTo>
                    <a:pt x="213987" y="663169"/>
                  </a:lnTo>
                  <a:lnTo>
                    <a:pt x="212879" y="641051"/>
                  </a:lnTo>
                  <a:lnTo>
                    <a:pt x="226491" y="632385"/>
                  </a:lnTo>
                  <a:lnTo>
                    <a:pt x="228706" y="626489"/>
                  </a:lnTo>
                  <a:lnTo>
                    <a:pt x="228232" y="614065"/>
                  </a:lnTo>
                  <a:lnTo>
                    <a:pt x="223642" y="607576"/>
                  </a:lnTo>
                  <a:lnTo>
                    <a:pt x="227598" y="591906"/>
                  </a:lnTo>
                  <a:lnTo>
                    <a:pt x="233296" y="581144"/>
                  </a:lnTo>
                  <a:lnTo>
                    <a:pt x="233929" y="544464"/>
                  </a:lnTo>
                  <a:lnTo>
                    <a:pt x="247066" y="526104"/>
                  </a:lnTo>
                  <a:lnTo>
                    <a:pt x="253239" y="511503"/>
                  </a:lnTo>
                  <a:lnTo>
                    <a:pt x="252764" y="495319"/>
                  </a:lnTo>
                  <a:lnTo>
                    <a:pt x="318764" y="498564"/>
                  </a:lnTo>
                  <a:lnTo>
                    <a:pt x="348203" y="499672"/>
                  </a:lnTo>
                  <a:lnTo>
                    <a:pt x="366405" y="499672"/>
                  </a:lnTo>
                  <a:lnTo>
                    <a:pt x="360232" y="491006"/>
                  </a:lnTo>
                  <a:lnTo>
                    <a:pt x="357383" y="473201"/>
                  </a:lnTo>
                  <a:lnTo>
                    <a:pt x="345355" y="460262"/>
                  </a:lnTo>
                  <a:lnTo>
                    <a:pt x="334592" y="451082"/>
                  </a:lnTo>
                  <a:lnTo>
                    <a:pt x="326045" y="439765"/>
                  </a:lnTo>
                  <a:lnTo>
                    <a:pt x="245325" y="436521"/>
                  </a:lnTo>
                  <a:lnTo>
                    <a:pt x="246433" y="420337"/>
                  </a:lnTo>
                  <a:lnTo>
                    <a:pt x="264635" y="410089"/>
                  </a:lnTo>
                  <a:lnTo>
                    <a:pt x="264002" y="406290"/>
                  </a:lnTo>
                  <a:lnTo>
                    <a:pt x="257196" y="401423"/>
                  </a:lnTo>
                  <a:lnTo>
                    <a:pt x="257829" y="368542"/>
                  </a:lnTo>
                  <a:lnTo>
                    <a:pt x="265268" y="363675"/>
                  </a:lnTo>
                  <a:lnTo>
                    <a:pt x="266376" y="353387"/>
                  </a:lnTo>
                  <a:lnTo>
                    <a:pt x="260678" y="344247"/>
                  </a:lnTo>
                  <a:lnTo>
                    <a:pt x="257829" y="335067"/>
                  </a:lnTo>
                  <a:lnTo>
                    <a:pt x="261153" y="325887"/>
                  </a:lnTo>
                  <a:lnTo>
                    <a:pt x="265268" y="321059"/>
                  </a:lnTo>
                  <a:lnTo>
                    <a:pt x="266376" y="267088"/>
                  </a:lnTo>
                  <a:lnTo>
                    <a:pt x="248649" y="234167"/>
                  </a:lnTo>
                  <a:lnTo>
                    <a:pt x="241210" y="231991"/>
                  </a:lnTo>
                  <a:lnTo>
                    <a:pt x="235670" y="228232"/>
                  </a:lnTo>
                  <a:lnTo>
                    <a:pt x="219685" y="210426"/>
                  </a:lnTo>
                  <a:lnTo>
                    <a:pt x="208289" y="199109"/>
                  </a:lnTo>
                  <a:lnTo>
                    <a:pt x="204807" y="185062"/>
                  </a:lnTo>
                  <a:lnTo>
                    <a:pt x="208922" y="169947"/>
                  </a:lnTo>
                  <a:lnTo>
                    <a:pt x="215095" y="157008"/>
                  </a:lnTo>
                  <a:lnTo>
                    <a:pt x="213987" y="137580"/>
                  </a:lnTo>
                  <a:lnTo>
                    <a:pt x="213987" y="118152"/>
                  </a:lnTo>
                  <a:lnTo>
                    <a:pt x="225383" y="112216"/>
                  </a:lnTo>
                  <a:lnTo>
                    <a:pt x="242951" y="111702"/>
                  </a:lnTo>
                  <a:lnTo>
                    <a:pt x="254347" y="95519"/>
                  </a:lnTo>
                  <a:lnTo>
                    <a:pt x="264635" y="82026"/>
                  </a:lnTo>
                  <a:lnTo>
                    <a:pt x="273181" y="62044"/>
                  </a:lnTo>
                  <a:lnTo>
                    <a:pt x="276505" y="49105"/>
                  </a:lnTo>
                  <a:lnTo>
                    <a:pt x="272548" y="39925"/>
                  </a:lnTo>
                  <a:lnTo>
                    <a:pt x="266850" y="25324"/>
                  </a:lnTo>
                  <a:lnTo>
                    <a:pt x="270807" y="15630"/>
                  </a:lnTo>
                  <a:lnTo>
                    <a:pt x="281728" y="0"/>
                  </a:lnTo>
                </a:path>
              </a:pathLst>
            </a:custGeom>
            <a:solidFill>
              <a:srgbClr val="FFFFFF"/>
            </a:solidFill>
            <a:ln w="5132" cap="flat">
              <a:solidFill>
                <a:srgbClr val="030000"/>
              </a:solidFill>
              <a:prstDash val="solid"/>
              <a:miter/>
            </a:ln>
          </xdr:spPr>
          <xdr:txBody>
            <a:bodyPr rtlCol="0" anchor="ctr"/>
            <a:lstStyle/>
            <a:p>
              <a:endParaRPr lang="en-US"/>
            </a:p>
          </xdr:txBody>
        </xdr:sp>
        <xdr:sp macro="" textlink="">
          <xdr:nvSpPr>
            <xdr:cNvPr id="111" name="24_1">
              <a:extLst>
                <a:ext uri="{FF2B5EF4-FFF2-40B4-BE49-F238E27FC236}">
                  <a16:creationId xmlns:a16="http://schemas.microsoft.com/office/drawing/2014/main" id="{497490A4-383B-D44D-8EFF-1598971470CF}"/>
                </a:ext>
              </a:extLst>
            </xdr:cNvPr>
            <xdr:cNvSpPr/>
          </xdr:nvSpPr>
          <xdr:spPr>
            <a:xfrm>
              <a:off x="6924024" y="4779258"/>
              <a:ext cx="576791" cy="871008"/>
            </a:xfrm>
            <a:custGeom>
              <a:avLst/>
              <a:gdLst>
                <a:gd name="connsiteX0" fmla="*/ 590363 w 581025"/>
                <a:gd name="connsiteY0" fmla="*/ 460855 h 828675"/>
                <a:gd name="connsiteX1" fmla="*/ 590363 w 581025"/>
                <a:gd name="connsiteY1" fmla="*/ 460855 h 828675"/>
                <a:gd name="connsiteX2" fmla="*/ 578176 w 581025"/>
                <a:gd name="connsiteY2" fmla="*/ 622216 h 828675"/>
                <a:gd name="connsiteX3" fmla="*/ 525471 w 581025"/>
                <a:gd name="connsiteY3" fmla="*/ 615173 h 828675"/>
                <a:gd name="connsiteX4" fmla="*/ 522938 w 581025"/>
                <a:gd name="connsiteY4" fmla="*/ 620594 h 828675"/>
                <a:gd name="connsiteX5" fmla="*/ 517874 w 581025"/>
                <a:gd name="connsiteY5" fmla="*/ 621662 h 828675"/>
                <a:gd name="connsiteX6" fmla="*/ 497298 w 581025"/>
                <a:gd name="connsiteY6" fmla="*/ 615173 h 828675"/>
                <a:gd name="connsiteX7" fmla="*/ 471183 w 581025"/>
                <a:gd name="connsiteY7" fmla="*/ 607101 h 828675"/>
                <a:gd name="connsiteX8" fmla="*/ 455830 w 581025"/>
                <a:gd name="connsiteY8" fmla="*/ 605993 h 828675"/>
                <a:gd name="connsiteX9" fmla="*/ 455830 w 581025"/>
                <a:gd name="connsiteY9" fmla="*/ 613036 h 828675"/>
                <a:gd name="connsiteX10" fmla="*/ 445067 w 581025"/>
                <a:gd name="connsiteY10" fmla="*/ 624907 h 828675"/>
                <a:gd name="connsiteX11" fmla="*/ 451240 w 581025"/>
                <a:gd name="connsiteY11" fmla="*/ 637331 h 828675"/>
                <a:gd name="connsiteX12" fmla="*/ 434146 w 581025"/>
                <a:gd name="connsiteY12" fmla="*/ 654583 h 828675"/>
                <a:gd name="connsiteX13" fmla="*/ 437628 w 581025"/>
                <a:gd name="connsiteY13" fmla="*/ 696684 h 828675"/>
                <a:gd name="connsiteX14" fmla="*/ 400592 w 581025"/>
                <a:gd name="connsiteY14" fmla="*/ 737717 h 828675"/>
                <a:gd name="connsiteX15" fmla="*/ 370520 w 581025"/>
                <a:gd name="connsiteY15" fmla="*/ 725806 h 828675"/>
                <a:gd name="connsiteX16" fmla="*/ 341398 w 581025"/>
                <a:gd name="connsiteY16" fmla="*/ 759835 h 828675"/>
                <a:gd name="connsiteX17" fmla="*/ 342506 w 581025"/>
                <a:gd name="connsiteY17" fmla="*/ 776573 h 828675"/>
                <a:gd name="connsiteX18" fmla="*/ 342031 w 581025"/>
                <a:gd name="connsiteY18" fmla="*/ 803559 h 828675"/>
                <a:gd name="connsiteX19" fmla="*/ 342031 w 581025"/>
                <a:gd name="connsiteY19" fmla="*/ 812185 h 828675"/>
                <a:gd name="connsiteX20" fmla="*/ 326045 w 581025"/>
                <a:gd name="connsiteY20" fmla="*/ 812739 h 828675"/>
                <a:gd name="connsiteX21" fmla="*/ 308477 w 581025"/>
                <a:gd name="connsiteY21" fmla="*/ 818120 h 828675"/>
                <a:gd name="connsiteX22" fmla="*/ 284577 w 581025"/>
                <a:gd name="connsiteY22" fmla="*/ 828368 h 828675"/>
                <a:gd name="connsiteX23" fmla="*/ 261153 w 581025"/>
                <a:gd name="connsiteY23" fmla="*/ 832681 h 828675"/>
                <a:gd name="connsiteX24" fmla="*/ 235037 w 581025"/>
                <a:gd name="connsiteY24" fmla="*/ 832681 h 828675"/>
                <a:gd name="connsiteX25" fmla="*/ 208289 w 581025"/>
                <a:gd name="connsiteY25" fmla="*/ 828368 h 828675"/>
                <a:gd name="connsiteX26" fmla="*/ 179800 w 581025"/>
                <a:gd name="connsiteY26" fmla="*/ 828368 h 828675"/>
                <a:gd name="connsiteX27" fmla="*/ 171886 w 581025"/>
                <a:gd name="connsiteY27" fmla="*/ 822433 h 828675"/>
                <a:gd name="connsiteX28" fmla="*/ 171886 w 581025"/>
                <a:gd name="connsiteY28" fmla="*/ 815983 h 828675"/>
                <a:gd name="connsiteX29" fmla="*/ 171253 w 581025"/>
                <a:gd name="connsiteY29" fmla="*/ 801382 h 828675"/>
                <a:gd name="connsiteX30" fmla="*/ 165555 w 581025"/>
                <a:gd name="connsiteY30" fmla="*/ 788443 h 828675"/>
                <a:gd name="connsiteX31" fmla="*/ 150835 w 581025"/>
                <a:gd name="connsiteY31" fmla="*/ 769569 h 828675"/>
                <a:gd name="connsiteX32" fmla="*/ 58561 w 581025"/>
                <a:gd name="connsiteY32" fmla="*/ 709108 h 828675"/>
                <a:gd name="connsiteX33" fmla="*/ 51281 w 581025"/>
                <a:gd name="connsiteY33" fmla="*/ 698860 h 828675"/>
                <a:gd name="connsiteX34" fmla="*/ 21684 w 581025"/>
                <a:gd name="connsiteY34" fmla="*/ 700997 h 828675"/>
                <a:gd name="connsiteX35" fmla="*/ 16461 w 581025"/>
                <a:gd name="connsiteY35" fmla="*/ 695062 h 828675"/>
                <a:gd name="connsiteX36" fmla="*/ 12029 w 581025"/>
                <a:gd name="connsiteY36" fmla="*/ 668076 h 828675"/>
                <a:gd name="connsiteX37" fmla="*/ 9180 w 581025"/>
                <a:gd name="connsiteY37" fmla="*/ 652961 h 828675"/>
                <a:gd name="connsiteX38" fmla="*/ 7439 w 581025"/>
                <a:gd name="connsiteY38" fmla="*/ 644889 h 828675"/>
                <a:gd name="connsiteX39" fmla="*/ 0 w 581025"/>
                <a:gd name="connsiteY39" fmla="*/ 638399 h 828675"/>
                <a:gd name="connsiteX40" fmla="*/ 13137 w 581025"/>
                <a:gd name="connsiteY40" fmla="*/ 609791 h 828675"/>
                <a:gd name="connsiteX41" fmla="*/ 55238 w 581025"/>
                <a:gd name="connsiteY41" fmla="*/ 590363 h 828675"/>
                <a:gd name="connsiteX42" fmla="*/ 48907 w 581025"/>
                <a:gd name="connsiteY42" fmla="*/ 566622 h 828675"/>
                <a:gd name="connsiteX43" fmla="*/ 52864 w 581025"/>
                <a:gd name="connsiteY43" fmla="*/ 558510 h 828675"/>
                <a:gd name="connsiteX44" fmla="*/ 51756 w 581025"/>
                <a:gd name="connsiteY44" fmla="*/ 414956 h 828675"/>
                <a:gd name="connsiteX45" fmla="*/ 47799 w 581025"/>
                <a:gd name="connsiteY45" fmla="*/ 339419 h 828675"/>
                <a:gd name="connsiteX46" fmla="*/ 50015 w 581025"/>
                <a:gd name="connsiteY46" fmla="*/ 304876 h 828675"/>
                <a:gd name="connsiteX47" fmla="*/ 59195 w 581025"/>
                <a:gd name="connsiteY47" fmla="*/ 263329 h 828675"/>
                <a:gd name="connsiteX48" fmla="*/ 38144 w 581025"/>
                <a:gd name="connsiteY48" fmla="*/ 200177 h 828675"/>
                <a:gd name="connsiteX49" fmla="*/ 19943 w 581025"/>
                <a:gd name="connsiteY49" fmla="*/ 199663 h 828675"/>
                <a:gd name="connsiteX50" fmla="*/ 47799 w 581025"/>
                <a:gd name="connsiteY50" fmla="*/ 143001 h 828675"/>
                <a:gd name="connsiteX51" fmla="*/ 54605 w 581025"/>
                <a:gd name="connsiteY51" fmla="*/ 102008 h 828675"/>
                <a:gd name="connsiteX52" fmla="*/ 67108 w 581025"/>
                <a:gd name="connsiteY52" fmla="*/ 100385 h 828675"/>
                <a:gd name="connsiteX53" fmla="*/ 72331 w 581025"/>
                <a:gd name="connsiteY53" fmla="*/ 93857 h 828675"/>
                <a:gd name="connsiteX54" fmla="*/ 76288 w 581025"/>
                <a:gd name="connsiteY54" fmla="*/ 0 h 828675"/>
                <a:gd name="connsiteX55" fmla="*/ 112058 w 581025"/>
                <a:gd name="connsiteY55" fmla="*/ 4313 h 828675"/>
                <a:gd name="connsiteX56" fmla="*/ 143397 w 581025"/>
                <a:gd name="connsiteY56" fmla="*/ 10802 h 828675"/>
                <a:gd name="connsiteX57" fmla="*/ 206548 w 581025"/>
                <a:gd name="connsiteY57" fmla="*/ 29676 h 828675"/>
                <a:gd name="connsiteX58" fmla="*/ 313067 w 581025"/>
                <a:gd name="connsiteY58" fmla="*/ 62044 h 828675"/>
                <a:gd name="connsiteX59" fmla="*/ 396002 w 581025"/>
                <a:gd name="connsiteY59" fmla="*/ 83094 h 828675"/>
                <a:gd name="connsiteX60" fmla="*/ 463744 w 581025"/>
                <a:gd name="connsiteY60" fmla="*/ 100385 h 828675"/>
                <a:gd name="connsiteX61" fmla="*/ 502204 w 581025"/>
                <a:gd name="connsiteY61" fmla="*/ 111623 h 828675"/>
                <a:gd name="connsiteX62" fmla="*/ 482578 w 581025"/>
                <a:gd name="connsiteY62" fmla="*/ 143001 h 828675"/>
                <a:gd name="connsiteX63" fmla="*/ 481470 w 581025"/>
                <a:gd name="connsiteY63" fmla="*/ 159738 h 828675"/>
                <a:gd name="connsiteX64" fmla="*/ 468967 w 581025"/>
                <a:gd name="connsiteY64" fmla="*/ 187239 h 828675"/>
                <a:gd name="connsiteX65" fmla="*/ 470075 w 581025"/>
                <a:gd name="connsiteY65" fmla="*/ 196418 h 828675"/>
                <a:gd name="connsiteX66" fmla="*/ 475773 w 581025"/>
                <a:gd name="connsiteY66" fmla="*/ 202354 h 828675"/>
                <a:gd name="connsiteX67" fmla="*/ 484794 w 581025"/>
                <a:gd name="connsiteY67" fmla="*/ 211534 h 828675"/>
                <a:gd name="connsiteX68" fmla="*/ 488751 w 581025"/>
                <a:gd name="connsiteY68" fmla="*/ 219091 h 828675"/>
                <a:gd name="connsiteX69" fmla="*/ 488276 w 581025"/>
                <a:gd name="connsiteY69" fmla="*/ 244969 h 828675"/>
                <a:gd name="connsiteX70" fmla="*/ 494449 w 581025"/>
                <a:gd name="connsiteY70" fmla="*/ 261707 h 828675"/>
                <a:gd name="connsiteX71" fmla="*/ 495715 w 581025"/>
                <a:gd name="connsiteY71" fmla="*/ 264951 h 828675"/>
                <a:gd name="connsiteX72" fmla="*/ 496190 w 581025"/>
                <a:gd name="connsiteY72" fmla="*/ 274646 h 828675"/>
                <a:gd name="connsiteX73" fmla="*/ 493974 w 581025"/>
                <a:gd name="connsiteY73" fmla="*/ 277890 h 828675"/>
                <a:gd name="connsiteX74" fmla="*/ 492233 w 581025"/>
                <a:gd name="connsiteY74" fmla="*/ 284933 h 828675"/>
                <a:gd name="connsiteX75" fmla="*/ 488751 w 581025"/>
                <a:gd name="connsiteY75" fmla="*/ 293559 h 828675"/>
                <a:gd name="connsiteX76" fmla="*/ 483686 w 581025"/>
                <a:gd name="connsiteY76" fmla="*/ 305984 h 828675"/>
                <a:gd name="connsiteX77" fmla="*/ 479096 w 581025"/>
                <a:gd name="connsiteY77" fmla="*/ 310811 h 828675"/>
                <a:gd name="connsiteX78" fmla="*/ 479729 w 581025"/>
                <a:gd name="connsiteY78" fmla="*/ 321613 h 828675"/>
                <a:gd name="connsiteX79" fmla="*/ 479096 w 581025"/>
                <a:gd name="connsiteY79" fmla="*/ 331308 h 828675"/>
                <a:gd name="connsiteX80" fmla="*/ 470391 w 581025"/>
                <a:gd name="connsiteY80" fmla="*/ 342387 h 828675"/>
                <a:gd name="connsiteX81" fmla="*/ 577860 w 581025"/>
                <a:gd name="connsiteY81" fmla="*/ 449776 h 828675"/>
                <a:gd name="connsiteX82" fmla="*/ 590363 w 581025"/>
                <a:gd name="connsiteY82" fmla="*/ 460855 h 828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Lst>
              <a:rect l="l" t="t" r="r" b="b"/>
              <a:pathLst>
                <a:path w="581025" h="828675">
                  <a:moveTo>
                    <a:pt x="590363" y="460855"/>
                  </a:moveTo>
                  <a:lnTo>
                    <a:pt x="590363" y="460855"/>
                  </a:lnTo>
                  <a:lnTo>
                    <a:pt x="578176" y="622216"/>
                  </a:lnTo>
                  <a:lnTo>
                    <a:pt x="525471" y="615173"/>
                  </a:lnTo>
                  <a:lnTo>
                    <a:pt x="522938" y="620594"/>
                  </a:lnTo>
                  <a:lnTo>
                    <a:pt x="517874" y="621662"/>
                  </a:lnTo>
                  <a:lnTo>
                    <a:pt x="497298" y="615173"/>
                  </a:lnTo>
                  <a:lnTo>
                    <a:pt x="471183" y="607101"/>
                  </a:lnTo>
                  <a:lnTo>
                    <a:pt x="455830" y="605993"/>
                  </a:lnTo>
                  <a:lnTo>
                    <a:pt x="455830" y="613036"/>
                  </a:lnTo>
                  <a:lnTo>
                    <a:pt x="445067" y="624907"/>
                  </a:lnTo>
                  <a:lnTo>
                    <a:pt x="451240" y="637331"/>
                  </a:lnTo>
                  <a:lnTo>
                    <a:pt x="434146" y="654583"/>
                  </a:lnTo>
                  <a:lnTo>
                    <a:pt x="437628" y="696684"/>
                  </a:lnTo>
                  <a:lnTo>
                    <a:pt x="400592" y="737717"/>
                  </a:lnTo>
                  <a:lnTo>
                    <a:pt x="370520" y="725806"/>
                  </a:lnTo>
                  <a:lnTo>
                    <a:pt x="341398" y="759835"/>
                  </a:lnTo>
                  <a:lnTo>
                    <a:pt x="342506" y="776573"/>
                  </a:lnTo>
                  <a:lnTo>
                    <a:pt x="342031" y="803559"/>
                  </a:lnTo>
                  <a:lnTo>
                    <a:pt x="342031" y="812185"/>
                  </a:lnTo>
                  <a:lnTo>
                    <a:pt x="326045" y="812739"/>
                  </a:lnTo>
                  <a:lnTo>
                    <a:pt x="308477" y="818120"/>
                  </a:lnTo>
                  <a:lnTo>
                    <a:pt x="284577" y="828368"/>
                  </a:lnTo>
                  <a:lnTo>
                    <a:pt x="261153" y="832681"/>
                  </a:lnTo>
                  <a:lnTo>
                    <a:pt x="235037" y="832681"/>
                  </a:lnTo>
                  <a:lnTo>
                    <a:pt x="208289" y="828368"/>
                  </a:lnTo>
                  <a:lnTo>
                    <a:pt x="179800" y="828368"/>
                  </a:lnTo>
                  <a:lnTo>
                    <a:pt x="171886" y="822433"/>
                  </a:lnTo>
                  <a:lnTo>
                    <a:pt x="171886" y="815983"/>
                  </a:lnTo>
                  <a:lnTo>
                    <a:pt x="171253" y="801382"/>
                  </a:lnTo>
                  <a:lnTo>
                    <a:pt x="165555" y="788443"/>
                  </a:lnTo>
                  <a:lnTo>
                    <a:pt x="150835" y="769569"/>
                  </a:lnTo>
                  <a:lnTo>
                    <a:pt x="58561" y="709108"/>
                  </a:lnTo>
                  <a:lnTo>
                    <a:pt x="51281" y="698860"/>
                  </a:lnTo>
                  <a:lnTo>
                    <a:pt x="21684" y="700997"/>
                  </a:lnTo>
                  <a:lnTo>
                    <a:pt x="16461" y="695062"/>
                  </a:lnTo>
                  <a:lnTo>
                    <a:pt x="12029" y="668076"/>
                  </a:lnTo>
                  <a:lnTo>
                    <a:pt x="9180" y="652961"/>
                  </a:lnTo>
                  <a:lnTo>
                    <a:pt x="7439" y="644889"/>
                  </a:lnTo>
                  <a:lnTo>
                    <a:pt x="0" y="638399"/>
                  </a:lnTo>
                  <a:lnTo>
                    <a:pt x="13137" y="609791"/>
                  </a:lnTo>
                  <a:lnTo>
                    <a:pt x="55238" y="590363"/>
                  </a:lnTo>
                  <a:lnTo>
                    <a:pt x="48907" y="566622"/>
                  </a:lnTo>
                  <a:lnTo>
                    <a:pt x="52864" y="558510"/>
                  </a:lnTo>
                  <a:lnTo>
                    <a:pt x="51756" y="414956"/>
                  </a:lnTo>
                  <a:lnTo>
                    <a:pt x="47799" y="339419"/>
                  </a:lnTo>
                  <a:lnTo>
                    <a:pt x="50015" y="304876"/>
                  </a:lnTo>
                  <a:lnTo>
                    <a:pt x="59195" y="263329"/>
                  </a:lnTo>
                  <a:lnTo>
                    <a:pt x="38144" y="200177"/>
                  </a:lnTo>
                  <a:lnTo>
                    <a:pt x="19943" y="199663"/>
                  </a:lnTo>
                  <a:lnTo>
                    <a:pt x="47799" y="143001"/>
                  </a:lnTo>
                  <a:lnTo>
                    <a:pt x="54605" y="102008"/>
                  </a:lnTo>
                  <a:lnTo>
                    <a:pt x="67108" y="100385"/>
                  </a:lnTo>
                  <a:lnTo>
                    <a:pt x="72331" y="93857"/>
                  </a:lnTo>
                  <a:lnTo>
                    <a:pt x="76288" y="0"/>
                  </a:lnTo>
                  <a:lnTo>
                    <a:pt x="112058" y="4313"/>
                  </a:lnTo>
                  <a:lnTo>
                    <a:pt x="143397" y="10802"/>
                  </a:lnTo>
                  <a:lnTo>
                    <a:pt x="206548" y="29676"/>
                  </a:lnTo>
                  <a:lnTo>
                    <a:pt x="313067" y="62044"/>
                  </a:lnTo>
                  <a:lnTo>
                    <a:pt x="396002" y="83094"/>
                  </a:lnTo>
                  <a:lnTo>
                    <a:pt x="463744" y="100385"/>
                  </a:lnTo>
                  <a:lnTo>
                    <a:pt x="502204" y="111623"/>
                  </a:lnTo>
                  <a:lnTo>
                    <a:pt x="482578" y="143001"/>
                  </a:lnTo>
                  <a:lnTo>
                    <a:pt x="481470" y="159738"/>
                  </a:lnTo>
                  <a:lnTo>
                    <a:pt x="468967" y="187239"/>
                  </a:lnTo>
                  <a:lnTo>
                    <a:pt x="470075" y="196418"/>
                  </a:lnTo>
                  <a:lnTo>
                    <a:pt x="475773" y="202354"/>
                  </a:lnTo>
                  <a:lnTo>
                    <a:pt x="484794" y="211534"/>
                  </a:lnTo>
                  <a:lnTo>
                    <a:pt x="488751" y="219091"/>
                  </a:lnTo>
                  <a:lnTo>
                    <a:pt x="488276" y="244969"/>
                  </a:lnTo>
                  <a:lnTo>
                    <a:pt x="494449" y="261707"/>
                  </a:lnTo>
                  <a:lnTo>
                    <a:pt x="495715" y="264951"/>
                  </a:lnTo>
                  <a:lnTo>
                    <a:pt x="496190" y="274646"/>
                  </a:lnTo>
                  <a:lnTo>
                    <a:pt x="493974" y="277890"/>
                  </a:lnTo>
                  <a:lnTo>
                    <a:pt x="492233" y="284933"/>
                  </a:lnTo>
                  <a:lnTo>
                    <a:pt x="488751" y="293559"/>
                  </a:lnTo>
                  <a:lnTo>
                    <a:pt x="483686" y="305984"/>
                  </a:lnTo>
                  <a:lnTo>
                    <a:pt x="479096" y="310811"/>
                  </a:lnTo>
                  <a:lnTo>
                    <a:pt x="479729" y="321613"/>
                  </a:lnTo>
                  <a:lnTo>
                    <a:pt x="479096" y="331308"/>
                  </a:lnTo>
                  <a:lnTo>
                    <a:pt x="470391" y="342387"/>
                  </a:lnTo>
                  <a:lnTo>
                    <a:pt x="577860" y="449776"/>
                  </a:lnTo>
                  <a:lnTo>
                    <a:pt x="590363" y="460855"/>
                  </a:lnTo>
                </a:path>
              </a:pathLst>
            </a:custGeom>
            <a:solidFill>
              <a:srgbClr val="FFFFFF"/>
            </a:solidFill>
            <a:ln w="5132" cap="flat">
              <a:solidFill>
                <a:srgbClr val="030000"/>
              </a:solidFill>
              <a:prstDash val="solid"/>
              <a:miter/>
            </a:ln>
          </xdr:spPr>
          <xdr:txBody>
            <a:bodyPr rtlCol="0" anchor="ctr"/>
            <a:lstStyle/>
            <a:p>
              <a:endParaRPr lang="en-US"/>
            </a:p>
          </xdr:txBody>
        </xdr:sp>
        <xdr:sp macro="" textlink="">
          <xdr:nvSpPr>
            <xdr:cNvPr id="112" name="23_1">
              <a:extLst>
                <a:ext uri="{FF2B5EF4-FFF2-40B4-BE49-F238E27FC236}">
                  <a16:creationId xmlns:a16="http://schemas.microsoft.com/office/drawing/2014/main" id="{6A4E17E9-D35B-A64F-960F-3418DC430705}"/>
                </a:ext>
              </a:extLst>
            </xdr:cNvPr>
            <xdr:cNvSpPr/>
          </xdr:nvSpPr>
          <xdr:spPr>
            <a:xfrm>
              <a:off x="7392991" y="4899347"/>
              <a:ext cx="786341" cy="606425"/>
            </a:xfrm>
            <a:custGeom>
              <a:avLst/>
              <a:gdLst>
                <a:gd name="connsiteX0" fmla="*/ 791213 w 790575"/>
                <a:gd name="connsiteY0" fmla="*/ 189771 h 581025"/>
                <a:gd name="connsiteX1" fmla="*/ 791213 w 790575"/>
                <a:gd name="connsiteY1" fmla="*/ 189771 h 581025"/>
                <a:gd name="connsiteX2" fmla="*/ 780609 w 790575"/>
                <a:gd name="connsiteY2" fmla="*/ 233732 h 581025"/>
                <a:gd name="connsiteX3" fmla="*/ 763040 w 790575"/>
                <a:gd name="connsiteY3" fmla="*/ 231595 h 581025"/>
                <a:gd name="connsiteX4" fmla="*/ 724263 w 790575"/>
                <a:gd name="connsiteY4" fmla="*/ 228350 h 581025"/>
                <a:gd name="connsiteX5" fmla="*/ 697040 w 790575"/>
                <a:gd name="connsiteY5" fmla="*/ 225106 h 581025"/>
                <a:gd name="connsiteX6" fmla="*/ 663486 w 790575"/>
                <a:gd name="connsiteY6" fmla="*/ 223483 h 581025"/>
                <a:gd name="connsiteX7" fmla="*/ 624234 w 790575"/>
                <a:gd name="connsiteY7" fmla="*/ 222415 h 581025"/>
                <a:gd name="connsiteX8" fmla="*/ 601442 w 790575"/>
                <a:gd name="connsiteY8" fmla="*/ 219170 h 581025"/>
                <a:gd name="connsiteX9" fmla="*/ 577543 w 790575"/>
                <a:gd name="connsiteY9" fmla="*/ 288771 h 581025"/>
                <a:gd name="connsiteX10" fmla="*/ 558708 w 790575"/>
                <a:gd name="connsiteY10" fmla="*/ 351369 h 581025"/>
                <a:gd name="connsiteX11" fmla="*/ 553010 w 790575"/>
                <a:gd name="connsiteY11" fmla="*/ 373527 h 581025"/>
                <a:gd name="connsiteX12" fmla="*/ 545572 w 790575"/>
                <a:gd name="connsiteY12" fmla="*/ 395646 h 581025"/>
                <a:gd name="connsiteX13" fmla="*/ 478463 w 790575"/>
                <a:gd name="connsiteY13" fmla="*/ 481431 h 581025"/>
                <a:gd name="connsiteX14" fmla="*/ 477355 w 790575"/>
                <a:gd name="connsiteY14" fmla="*/ 491165 h 581025"/>
                <a:gd name="connsiteX15" fmla="*/ 474032 w 790575"/>
                <a:gd name="connsiteY15" fmla="*/ 500859 h 581025"/>
                <a:gd name="connsiteX16" fmla="*/ 474032 w 790575"/>
                <a:gd name="connsiteY16" fmla="*/ 507348 h 581025"/>
                <a:gd name="connsiteX17" fmla="*/ 469442 w 790575"/>
                <a:gd name="connsiteY17" fmla="*/ 519773 h 581025"/>
                <a:gd name="connsiteX18" fmla="*/ 467067 w 790575"/>
                <a:gd name="connsiteY18" fmla="*/ 530021 h 581025"/>
                <a:gd name="connsiteX19" fmla="*/ 452823 w 790575"/>
                <a:gd name="connsiteY19" fmla="*/ 586129 h 581025"/>
                <a:gd name="connsiteX20" fmla="*/ 121396 w 790575"/>
                <a:gd name="connsiteY20" fmla="*/ 349232 h 581025"/>
                <a:gd name="connsiteX21" fmla="*/ 108893 w 790575"/>
                <a:gd name="connsiteY21" fmla="*/ 338153 h 581025"/>
                <a:gd name="connsiteX22" fmla="*/ 1424 w 790575"/>
                <a:gd name="connsiteY22" fmla="*/ 230764 h 581025"/>
                <a:gd name="connsiteX23" fmla="*/ 10130 w 790575"/>
                <a:gd name="connsiteY23" fmla="*/ 219685 h 581025"/>
                <a:gd name="connsiteX24" fmla="*/ 10763 w 790575"/>
                <a:gd name="connsiteY24" fmla="*/ 209990 h 581025"/>
                <a:gd name="connsiteX25" fmla="*/ 10130 w 790575"/>
                <a:gd name="connsiteY25" fmla="*/ 199188 h 581025"/>
                <a:gd name="connsiteX26" fmla="*/ 14720 w 790575"/>
                <a:gd name="connsiteY26" fmla="*/ 194361 h 581025"/>
                <a:gd name="connsiteX27" fmla="*/ 19784 w 790575"/>
                <a:gd name="connsiteY27" fmla="*/ 181936 h 581025"/>
                <a:gd name="connsiteX28" fmla="*/ 23266 w 790575"/>
                <a:gd name="connsiteY28" fmla="*/ 173310 h 581025"/>
                <a:gd name="connsiteX29" fmla="*/ 25007 w 790575"/>
                <a:gd name="connsiteY29" fmla="*/ 166267 h 581025"/>
                <a:gd name="connsiteX30" fmla="*/ 27223 w 790575"/>
                <a:gd name="connsiteY30" fmla="*/ 163023 h 581025"/>
                <a:gd name="connsiteX31" fmla="*/ 26748 w 790575"/>
                <a:gd name="connsiteY31" fmla="*/ 153328 h 581025"/>
                <a:gd name="connsiteX32" fmla="*/ 25482 w 790575"/>
                <a:gd name="connsiteY32" fmla="*/ 150084 h 581025"/>
                <a:gd name="connsiteX33" fmla="*/ 19309 w 790575"/>
                <a:gd name="connsiteY33" fmla="*/ 133346 h 581025"/>
                <a:gd name="connsiteX34" fmla="*/ 19784 w 790575"/>
                <a:gd name="connsiteY34" fmla="*/ 107468 h 581025"/>
                <a:gd name="connsiteX35" fmla="*/ 15827 w 790575"/>
                <a:gd name="connsiteY35" fmla="*/ 99911 h 581025"/>
                <a:gd name="connsiteX36" fmla="*/ 6806 w 790575"/>
                <a:gd name="connsiteY36" fmla="*/ 90731 h 581025"/>
                <a:gd name="connsiteX37" fmla="*/ 1108 w 790575"/>
                <a:gd name="connsiteY37" fmla="*/ 84795 h 581025"/>
                <a:gd name="connsiteX38" fmla="*/ 0 w 790575"/>
                <a:gd name="connsiteY38" fmla="*/ 75616 h 581025"/>
                <a:gd name="connsiteX39" fmla="*/ 12504 w 790575"/>
                <a:gd name="connsiteY39" fmla="*/ 48115 h 581025"/>
                <a:gd name="connsiteX40" fmla="*/ 13612 w 790575"/>
                <a:gd name="connsiteY40" fmla="*/ 31378 h 581025"/>
                <a:gd name="connsiteX41" fmla="*/ 33238 w 790575"/>
                <a:gd name="connsiteY41" fmla="*/ 0 h 581025"/>
                <a:gd name="connsiteX42" fmla="*/ 61885 w 790575"/>
                <a:gd name="connsiteY42" fmla="*/ 8151 h 581025"/>
                <a:gd name="connsiteX43" fmla="*/ 61885 w 790575"/>
                <a:gd name="connsiteY43" fmla="*/ 8151 h 581025"/>
                <a:gd name="connsiteX44" fmla="*/ 124562 w 790575"/>
                <a:gd name="connsiteY44" fmla="*/ 15194 h 581025"/>
                <a:gd name="connsiteX45" fmla="*/ 211613 w 790575"/>
                <a:gd name="connsiteY45" fmla="*/ 24889 h 581025"/>
                <a:gd name="connsiteX46" fmla="*/ 301513 w 790575"/>
                <a:gd name="connsiteY46" fmla="*/ 34069 h 581025"/>
                <a:gd name="connsiteX47" fmla="*/ 443168 w 790575"/>
                <a:gd name="connsiteY47" fmla="*/ 53497 h 581025"/>
                <a:gd name="connsiteX48" fmla="*/ 442060 w 790575"/>
                <a:gd name="connsiteY48" fmla="*/ 105292 h 581025"/>
                <a:gd name="connsiteX49" fmla="*/ 549845 w 790575"/>
                <a:gd name="connsiteY49" fmla="*/ 119062 h 581025"/>
                <a:gd name="connsiteX50" fmla="*/ 654939 w 790575"/>
                <a:gd name="connsiteY50" fmla="*/ 131724 h 581025"/>
                <a:gd name="connsiteX51" fmla="*/ 791213 w 790575"/>
                <a:gd name="connsiteY51" fmla="*/ 189771 h 5810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Lst>
              <a:rect l="l" t="t" r="r" b="b"/>
              <a:pathLst>
                <a:path w="790575" h="581025">
                  <a:moveTo>
                    <a:pt x="791213" y="189771"/>
                  </a:moveTo>
                  <a:lnTo>
                    <a:pt x="791213" y="189771"/>
                  </a:lnTo>
                  <a:lnTo>
                    <a:pt x="780609" y="233732"/>
                  </a:lnTo>
                  <a:lnTo>
                    <a:pt x="763040" y="231595"/>
                  </a:lnTo>
                  <a:lnTo>
                    <a:pt x="724263" y="228350"/>
                  </a:lnTo>
                  <a:lnTo>
                    <a:pt x="697040" y="225106"/>
                  </a:lnTo>
                  <a:lnTo>
                    <a:pt x="663486" y="223483"/>
                  </a:lnTo>
                  <a:lnTo>
                    <a:pt x="624234" y="222415"/>
                  </a:lnTo>
                  <a:lnTo>
                    <a:pt x="601442" y="219170"/>
                  </a:lnTo>
                  <a:lnTo>
                    <a:pt x="577543" y="288771"/>
                  </a:lnTo>
                  <a:lnTo>
                    <a:pt x="558708" y="351369"/>
                  </a:lnTo>
                  <a:lnTo>
                    <a:pt x="553010" y="373527"/>
                  </a:lnTo>
                  <a:lnTo>
                    <a:pt x="545572" y="395646"/>
                  </a:lnTo>
                  <a:lnTo>
                    <a:pt x="478463" y="481431"/>
                  </a:lnTo>
                  <a:lnTo>
                    <a:pt x="477355" y="491165"/>
                  </a:lnTo>
                  <a:lnTo>
                    <a:pt x="474032" y="500859"/>
                  </a:lnTo>
                  <a:lnTo>
                    <a:pt x="474032" y="507348"/>
                  </a:lnTo>
                  <a:lnTo>
                    <a:pt x="469442" y="519773"/>
                  </a:lnTo>
                  <a:lnTo>
                    <a:pt x="467067" y="530021"/>
                  </a:lnTo>
                  <a:lnTo>
                    <a:pt x="452823" y="586129"/>
                  </a:lnTo>
                  <a:lnTo>
                    <a:pt x="121396" y="349232"/>
                  </a:lnTo>
                  <a:lnTo>
                    <a:pt x="108893" y="338153"/>
                  </a:lnTo>
                  <a:lnTo>
                    <a:pt x="1424" y="230764"/>
                  </a:lnTo>
                  <a:lnTo>
                    <a:pt x="10130" y="219685"/>
                  </a:lnTo>
                  <a:lnTo>
                    <a:pt x="10763" y="209990"/>
                  </a:lnTo>
                  <a:lnTo>
                    <a:pt x="10130" y="199188"/>
                  </a:lnTo>
                  <a:lnTo>
                    <a:pt x="14720" y="194361"/>
                  </a:lnTo>
                  <a:lnTo>
                    <a:pt x="19784" y="181936"/>
                  </a:lnTo>
                  <a:lnTo>
                    <a:pt x="23266" y="173310"/>
                  </a:lnTo>
                  <a:lnTo>
                    <a:pt x="25007" y="166267"/>
                  </a:lnTo>
                  <a:lnTo>
                    <a:pt x="27223" y="163023"/>
                  </a:lnTo>
                  <a:lnTo>
                    <a:pt x="26748" y="153328"/>
                  </a:lnTo>
                  <a:lnTo>
                    <a:pt x="25482" y="150084"/>
                  </a:lnTo>
                  <a:lnTo>
                    <a:pt x="19309" y="133346"/>
                  </a:lnTo>
                  <a:lnTo>
                    <a:pt x="19784" y="107468"/>
                  </a:lnTo>
                  <a:lnTo>
                    <a:pt x="15827" y="99911"/>
                  </a:lnTo>
                  <a:lnTo>
                    <a:pt x="6806" y="90731"/>
                  </a:lnTo>
                  <a:lnTo>
                    <a:pt x="1108" y="84795"/>
                  </a:lnTo>
                  <a:lnTo>
                    <a:pt x="0" y="75616"/>
                  </a:lnTo>
                  <a:lnTo>
                    <a:pt x="12504" y="48115"/>
                  </a:lnTo>
                  <a:lnTo>
                    <a:pt x="13612" y="31378"/>
                  </a:lnTo>
                  <a:lnTo>
                    <a:pt x="33238" y="0"/>
                  </a:lnTo>
                  <a:lnTo>
                    <a:pt x="61885" y="8151"/>
                  </a:lnTo>
                  <a:lnTo>
                    <a:pt x="61885" y="8151"/>
                  </a:lnTo>
                  <a:lnTo>
                    <a:pt x="124562" y="15194"/>
                  </a:lnTo>
                  <a:lnTo>
                    <a:pt x="211613" y="24889"/>
                  </a:lnTo>
                  <a:lnTo>
                    <a:pt x="301513" y="34069"/>
                  </a:lnTo>
                  <a:lnTo>
                    <a:pt x="443168" y="53497"/>
                  </a:lnTo>
                  <a:lnTo>
                    <a:pt x="442060" y="105292"/>
                  </a:lnTo>
                  <a:lnTo>
                    <a:pt x="549845" y="119062"/>
                  </a:lnTo>
                  <a:lnTo>
                    <a:pt x="654939" y="131724"/>
                  </a:lnTo>
                  <a:lnTo>
                    <a:pt x="791213" y="189771"/>
                  </a:lnTo>
                </a:path>
              </a:pathLst>
            </a:custGeom>
            <a:solidFill>
              <a:srgbClr val="FFFFFF"/>
            </a:solidFill>
            <a:ln w="5132" cap="flat">
              <a:solidFill>
                <a:srgbClr val="030000"/>
              </a:solidFill>
              <a:prstDash val="solid"/>
              <a:miter/>
            </a:ln>
          </xdr:spPr>
          <xdr:txBody>
            <a:bodyPr rtlCol="0" anchor="ctr"/>
            <a:lstStyle/>
            <a:p>
              <a:endParaRPr lang="en-US"/>
            </a:p>
          </xdr:txBody>
        </xdr:sp>
        <xdr:sp macro="" textlink="">
          <xdr:nvSpPr>
            <xdr:cNvPr id="113" name="22_1">
              <a:extLst>
                <a:ext uri="{FF2B5EF4-FFF2-40B4-BE49-F238E27FC236}">
                  <a16:creationId xmlns:a16="http://schemas.microsoft.com/office/drawing/2014/main" id="{F0FBE0A9-B01D-044E-AC20-79CCED687304}"/>
                </a:ext>
              </a:extLst>
            </xdr:cNvPr>
            <xdr:cNvSpPr/>
          </xdr:nvSpPr>
          <xdr:spPr>
            <a:xfrm>
              <a:off x="7115220" y="3864991"/>
              <a:ext cx="1100666" cy="1230842"/>
            </a:xfrm>
            <a:custGeom>
              <a:avLst/>
              <a:gdLst>
                <a:gd name="connsiteX0" fmla="*/ 529744 w 1104900"/>
                <a:gd name="connsiteY0" fmla="*/ 93857 h 1171575"/>
                <a:gd name="connsiteX1" fmla="*/ 529744 w 1104900"/>
                <a:gd name="connsiteY1" fmla="*/ 93857 h 1171575"/>
                <a:gd name="connsiteX2" fmla="*/ 508219 w 1104900"/>
                <a:gd name="connsiteY2" fmla="*/ 109526 h 1171575"/>
                <a:gd name="connsiteX3" fmla="*/ 497298 w 1104900"/>
                <a:gd name="connsiteY3" fmla="*/ 142407 h 1171575"/>
                <a:gd name="connsiteX4" fmla="*/ 496190 w 1104900"/>
                <a:gd name="connsiteY4" fmla="*/ 148343 h 1171575"/>
                <a:gd name="connsiteX5" fmla="*/ 501888 w 1104900"/>
                <a:gd name="connsiteY5" fmla="*/ 157523 h 1171575"/>
                <a:gd name="connsiteX6" fmla="*/ 515499 w 1104900"/>
                <a:gd name="connsiteY6" fmla="*/ 168839 h 1171575"/>
                <a:gd name="connsiteX7" fmla="*/ 525787 w 1104900"/>
                <a:gd name="connsiteY7" fmla="*/ 188307 h 1171575"/>
                <a:gd name="connsiteX8" fmla="*/ 526895 w 1104900"/>
                <a:gd name="connsiteY8" fmla="*/ 201246 h 1171575"/>
                <a:gd name="connsiteX9" fmla="*/ 534967 w 1104900"/>
                <a:gd name="connsiteY9" fmla="*/ 221742 h 1171575"/>
                <a:gd name="connsiteX10" fmla="*/ 534334 w 1104900"/>
                <a:gd name="connsiteY10" fmla="*/ 237372 h 1171575"/>
                <a:gd name="connsiteX11" fmla="*/ 533701 w 1104900"/>
                <a:gd name="connsiteY11" fmla="*/ 246037 h 1171575"/>
                <a:gd name="connsiteX12" fmla="*/ 541773 w 1104900"/>
                <a:gd name="connsiteY12" fmla="*/ 268156 h 1171575"/>
                <a:gd name="connsiteX13" fmla="*/ 545730 w 1104900"/>
                <a:gd name="connsiteY13" fmla="*/ 281095 h 1171575"/>
                <a:gd name="connsiteX14" fmla="*/ 558234 w 1104900"/>
                <a:gd name="connsiteY14" fmla="*/ 298347 h 1171575"/>
                <a:gd name="connsiteX15" fmla="*/ 566147 w 1104900"/>
                <a:gd name="connsiteY15" fmla="*/ 307013 h 1171575"/>
                <a:gd name="connsiteX16" fmla="*/ 571845 w 1104900"/>
                <a:gd name="connsiteY16" fmla="*/ 317221 h 1171575"/>
                <a:gd name="connsiteX17" fmla="*/ 577543 w 1104900"/>
                <a:gd name="connsiteY17" fmla="*/ 339340 h 1171575"/>
                <a:gd name="connsiteX18" fmla="*/ 591313 w 1104900"/>
                <a:gd name="connsiteY18" fmla="*/ 360945 h 1171575"/>
                <a:gd name="connsiteX19" fmla="*/ 606032 w 1104900"/>
                <a:gd name="connsiteY19" fmla="*/ 371707 h 1171575"/>
                <a:gd name="connsiteX20" fmla="*/ 619644 w 1104900"/>
                <a:gd name="connsiteY20" fmla="*/ 376060 h 1171575"/>
                <a:gd name="connsiteX21" fmla="*/ 622018 w 1104900"/>
                <a:gd name="connsiteY21" fmla="*/ 390067 h 1171575"/>
                <a:gd name="connsiteX22" fmla="*/ 612363 w 1104900"/>
                <a:gd name="connsiteY22" fmla="*/ 396002 h 1171575"/>
                <a:gd name="connsiteX23" fmla="*/ 584349 w 1104900"/>
                <a:gd name="connsiteY23" fmla="*/ 396556 h 1171575"/>
                <a:gd name="connsiteX24" fmla="*/ 565039 w 1104900"/>
                <a:gd name="connsiteY24" fmla="*/ 400869 h 1171575"/>
                <a:gd name="connsiteX25" fmla="*/ 536075 w 1104900"/>
                <a:gd name="connsiteY25" fmla="*/ 403560 h 1171575"/>
                <a:gd name="connsiteX26" fmla="*/ 522463 w 1104900"/>
                <a:gd name="connsiteY26" fmla="*/ 408427 h 1171575"/>
                <a:gd name="connsiteX27" fmla="*/ 515025 w 1104900"/>
                <a:gd name="connsiteY27" fmla="*/ 410564 h 1171575"/>
                <a:gd name="connsiteX28" fmla="*/ 480837 w 1104900"/>
                <a:gd name="connsiteY28" fmla="*/ 411671 h 1171575"/>
                <a:gd name="connsiteX29" fmla="*/ 479729 w 1104900"/>
                <a:gd name="connsiteY29" fmla="*/ 420297 h 1171575"/>
                <a:gd name="connsiteX30" fmla="*/ 467701 w 1104900"/>
                <a:gd name="connsiteY30" fmla="*/ 434859 h 1171575"/>
                <a:gd name="connsiteX31" fmla="*/ 456938 w 1104900"/>
                <a:gd name="connsiteY31" fmla="*/ 446175 h 1171575"/>
                <a:gd name="connsiteX32" fmla="*/ 445542 w 1104900"/>
                <a:gd name="connsiteY32" fmla="*/ 458600 h 1171575"/>
                <a:gd name="connsiteX33" fmla="*/ 439369 w 1104900"/>
                <a:gd name="connsiteY33" fmla="*/ 461290 h 1171575"/>
                <a:gd name="connsiteX34" fmla="*/ 437628 w 1104900"/>
                <a:gd name="connsiteY34" fmla="*/ 466157 h 1171575"/>
                <a:gd name="connsiteX35" fmla="*/ 433672 w 1104900"/>
                <a:gd name="connsiteY35" fmla="*/ 572993 h 1171575"/>
                <a:gd name="connsiteX36" fmla="*/ 437628 w 1104900"/>
                <a:gd name="connsiteY36" fmla="*/ 594557 h 1171575"/>
                <a:gd name="connsiteX37" fmla="*/ 450607 w 1104900"/>
                <a:gd name="connsiteY37" fmla="*/ 623166 h 1171575"/>
                <a:gd name="connsiteX38" fmla="*/ 451240 w 1104900"/>
                <a:gd name="connsiteY38" fmla="*/ 630723 h 1171575"/>
                <a:gd name="connsiteX39" fmla="*/ 446175 w 1104900"/>
                <a:gd name="connsiteY39" fmla="*/ 636658 h 1171575"/>
                <a:gd name="connsiteX40" fmla="*/ 443801 w 1104900"/>
                <a:gd name="connsiteY40" fmla="*/ 643108 h 1171575"/>
                <a:gd name="connsiteX41" fmla="*/ 441585 w 1104900"/>
                <a:gd name="connsiteY41" fmla="*/ 657195 h 1171575"/>
                <a:gd name="connsiteX42" fmla="*/ 434780 w 1104900"/>
                <a:gd name="connsiteY42" fmla="*/ 661468 h 1171575"/>
                <a:gd name="connsiteX43" fmla="*/ 428449 w 1104900"/>
                <a:gd name="connsiteY43" fmla="*/ 669579 h 1171575"/>
                <a:gd name="connsiteX44" fmla="*/ 422751 w 1104900"/>
                <a:gd name="connsiteY44" fmla="*/ 680896 h 1171575"/>
                <a:gd name="connsiteX45" fmla="*/ 421643 w 1104900"/>
                <a:gd name="connsiteY45" fmla="*/ 690630 h 1171575"/>
                <a:gd name="connsiteX46" fmla="*/ 424492 w 1104900"/>
                <a:gd name="connsiteY46" fmla="*/ 706260 h 1171575"/>
                <a:gd name="connsiteX47" fmla="*/ 422276 w 1104900"/>
                <a:gd name="connsiteY47" fmla="*/ 727864 h 1171575"/>
                <a:gd name="connsiteX48" fmla="*/ 419427 w 1104900"/>
                <a:gd name="connsiteY48" fmla="*/ 747807 h 1171575"/>
                <a:gd name="connsiteX49" fmla="*/ 411513 w 1104900"/>
                <a:gd name="connsiteY49" fmla="*/ 764544 h 1171575"/>
                <a:gd name="connsiteX50" fmla="*/ 471816 w 1104900"/>
                <a:gd name="connsiteY50" fmla="*/ 770479 h 1171575"/>
                <a:gd name="connsiteX51" fmla="*/ 522463 w 1104900"/>
                <a:gd name="connsiteY51" fmla="*/ 775346 h 1171575"/>
                <a:gd name="connsiteX52" fmla="*/ 535442 w 1104900"/>
                <a:gd name="connsiteY52" fmla="*/ 776969 h 1171575"/>
                <a:gd name="connsiteX53" fmla="*/ 550320 w 1104900"/>
                <a:gd name="connsiteY53" fmla="*/ 772102 h 1171575"/>
                <a:gd name="connsiteX54" fmla="*/ 554751 w 1104900"/>
                <a:gd name="connsiteY54" fmla="*/ 773170 h 1171575"/>
                <a:gd name="connsiteX55" fmla="*/ 566147 w 1104900"/>
                <a:gd name="connsiteY55" fmla="*/ 773170 h 1171575"/>
                <a:gd name="connsiteX56" fmla="*/ 573586 w 1104900"/>
                <a:gd name="connsiteY56" fmla="*/ 772656 h 1171575"/>
                <a:gd name="connsiteX57" fmla="*/ 579284 w 1104900"/>
                <a:gd name="connsiteY57" fmla="*/ 772102 h 1171575"/>
                <a:gd name="connsiteX58" fmla="*/ 585615 w 1104900"/>
                <a:gd name="connsiteY58" fmla="*/ 769411 h 1171575"/>
                <a:gd name="connsiteX59" fmla="*/ 646392 w 1104900"/>
                <a:gd name="connsiteY59" fmla="*/ 768857 h 1171575"/>
                <a:gd name="connsiteX60" fmla="*/ 673141 w 1104900"/>
                <a:gd name="connsiteY60" fmla="*/ 769411 h 1171575"/>
                <a:gd name="connsiteX61" fmla="*/ 707961 w 1104900"/>
                <a:gd name="connsiteY61" fmla="*/ 771033 h 1171575"/>
                <a:gd name="connsiteX62" fmla="*/ 723314 w 1104900"/>
                <a:gd name="connsiteY62" fmla="*/ 771033 h 1171575"/>
                <a:gd name="connsiteX63" fmla="*/ 733443 w 1104900"/>
                <a:gd name="connsiteY63" fmla="*/ 772102 h 1171575"/>
                <a:gd name="connsiteX64" fmla="*/ 746105 w 1104900"/>
                <a:gd name="connsiteY64" fmla="*/ 770479 h 1171575"/>
                <a:gd name="connsiteX65" fmla="*/ 740882 w 1104900"/>
                <a:gd name="connsiteY65" fmla="*/ 781242 h 1171575"/>
                <a:gd name="connsiteX66" fmla="*/ 740249 w 1104900"/>
                <a:gd name="connsiteY66" fmla="*/ 792044 h 1171575"/>
                <a:gd name="connsiteX67" fmla="*/ 745472 w 1104900"/>
                <a:gd name="connsiteY67" fmla="*/ 809890 h 1171575"/>
                <a:gd name="connsiteX68" fmla="*/ 750537 w 1104900"/>
                <a:gd name="connsiteY68" fmla="*/ 825519 h 1171575"/>
                <a:gd name="connsiteX69" fmla="*/ 748321 w 1104900"/>
                <a:gd name="connsiteY69" fmla="*/ 840080 h 1171575"/>
                <a:gd name="connsiteX70" fmla="*/ 740882 w 1104900"/>
                <a:gd name="connsiteY70" fmla="*/ 851437 h 1171575"/>
                <a:gd name="connsiteX71" fmla="*/ 725529 w 1104900"/>
                <a:gd name="connsiteY71" fmla="*/ 862753 h 1171575"/>
                <a:gd name="connsiteX72" fmla="*/ 720465 w 1104900"/>
                <a:gd name="connsiteY72" fmla="*/ 872448 h 1171575"/>
                <a:gd name="connsiteX73" fmla="*/ 716983 w 1104900"/>
                <a:gd name="connsiteY73" fmla="*/ 902678 h 1171575"/>
                <a:gd name="connsiteX74" fmla="*/ 716983 w 1104900"/>
                <a:gd name="connsiteY74" fmla="*/ 923728 h 1171575"/>
                <a:gd name="connsiteX75" fmla="*/ 715875 w 1104900"/>
                <a:gd name="connsiteY75" fmla="*/ 936707 h 1171575"/>
                <a:gd name="connsiteX76" fmla="*/ 715242 w 1104900"/>
                <a:gd name="connsiteY76" fmla="*/ 943711 h 1171575"/>
                <a:gd name="connsiteX77" fmla="*/ 769371 w 1104900"/>
                <a:gd name="connsiteY77" fmla="*/ 940980 h 1171575"/>
                <a:gd name="connsiteX78" fmla="*/ 780134 w 1104900"/>
                <a:gd name="connsiteY78" fmla="*/ 940466 h 1171575"/>
                <a:gd name="connsiteX79" fmla="*/ 835372 w 1104900"/>
                <a:gd name="connsiteY79" fmla="*/ 935599 h 1171575"/>
                <a:gd name="connsiteX80" fmla="*/ 866077 w 1104900"/>
                <a:gd name="connsiteY80" fmla="*/ 932908 h 1171575"/>
                <a:gd name="connsiteX81" fmla="*/ 908811 w 1104900"/>
                <a:gd name="connsiteY81" fmla="*/ 927527 h 1171575"/>
                <a:gd name="connsiteX82" fmla="*/ 944106 w 1104900"/>
                <a:gd name="connsiteY82" fmla="*/ 926419 h 1171575"/>
                <a:gd name="connsiteX83" fmla="*/ 990164 w 1104900"/>
                <a:gd name="connsiteY83" fmla="*/ 924282 h 1171575"/>
                <a:gd name="connsiteX84" fmla="*/ 990164 w 1104900"/>
                <a:gd name="connsiteY84" fmla="*/ 918862 h 1171575"/>
                <a:gd name="connsiteX85" fmla="*/ 1035114 w 1104900"/>
                <a:gd name="connsiteY85" fmla="*/ 924797 h 1171575"/>
                <a:gd name="connsiteX86" fmla="*/ 1056164 w 1104900"/>
                <a:gd name="connsiteY86" fmla="*/ 926419 h 1171575"/>
                <a:gd name="connsiteX87" fmla="*/ 1076107 w 1104900"/>
                <a:gd name="connsiteY87" fmla="*/ 924797 h 1171575"/>
                <a:gd name="connsiteX88" fmla="*/ 1085762 w 1104900"/>
                <a:gd name="connsiteY88" fmla="*/ 928041 h 1171575"/>
                <a:gd name="connsiteX89" fmla="*/ 1106179 w 1104900"/>
                <a:gd name="connsiteY89" fmla="*/ 929664 h 1171575"/>
                <a:gd name="connsiteX90" fmla="*/ 1105071 w 1104900"/>
                <a:gd name="connsiteY90" fmla="*/ 974970 h 1171575"/>
                <a:gd name="connsiteX91" fmla="*/ 1102855 w 1104900"/>
                <a:gd name="connsiteY91" fmla="*/ 1007376 h 1171575"/>
                <a:gd name="connsiteX92" fmla="*/ 1098265 w 1104900"/>
                <a:gd name="connsiteY92" fmla="*/ 1018139 h 1171575"/>
                <a:gd name="connsiteX93" fmla="*/ 1094783 w 1104900"/>
                <a:gd name="connsiteY93" fmla="*/ 1028941 h 1171575"/>
                <a:gd name="connsiteX94" fmla="*/ 1093201 w 1104900"/>
                <a:gd name="connsiteY94" fmla="*/ 1064553 h 1171575"/>
                <a:gd name="connsiteX95" fmla="*/ 1086395 w 1104900"/>
                <a:gd name="connsiteY95" fmla="*/ 1087226 h 1171575"/>
                <a:gd name="connsiteX96" fmla="*/ 1080697 w 1104900"/>
                <a:gd name="connsiteY96" fmla="*/ 1119079 h 1171575"/>
                <a:gd name="connsiteX97" fmla="*/ 1073258 w 1104900"/>
                <a:gd name="connsiteY97" fmla="*/ 1151446 h 1171575"/>
                <a:gd name="connsiteX98" fmla="*/ 1068985 w 1104900"/>
                <a:gd name="connsiteY98" fmla="*/ 1173327 h 1171575"/>
                <a:gd name="connsiteX99" fmla="*/ 932711 w 1104900"/>
                <a:gd name="connsiteY99" fmla="*/ 1115280 h 1171575"/>
                <a:gd name="connsiteX100" fmla="*/ 827616 w 1104900"/>
                <a:gd name="connsiteY100" fmla="*/ 1102618 h 1171575"/>
                <a:gd name="connsiteX101" fmla="*/ 719832 w 1104900"/>
                <a:gd name="connsiteY101" fmla="*/ 1088848 h 1171575"/>
                <a:gd name="connsiteX102" fmla="*/ 720939 w 1104900"/>
                <a:gd name="connsiteY102" fmla="*/ 1037053 h 1171575"/>
                <a:gd name="connsiteX103" fmla="*/ 579284 w 1104900"/>
                <a:gd name="connsiteY103" fmla="*/ 1017625 h 1171575"/>
                <a:gd name="connsiteX104" fmla="*/ 489384 w 1104900"/>
                <a:gd name="connsiteY104" fmla="*/ 1008445 h 1171575"/>
                <a:gd name="connsiteX105" fmla="*/ 402333 w 1104900"/>
                <a:gd name="connsiteY105" fmla="*/ 998750 h 1171575"/>
                <a:gd name="connsiteX106" fmla="*/ 339657 w 1104900"/>
                <a:gd name="connsiteY106" fmla="*/ 991707 h 1171575"/>
                <a:gd name="connsiteX107" fmla="*/ 311009 w 1104900"/>
                <a:gd name="connsiteY107" fmla="*/ 983556 h 1171575"/>
                <a:gd name="connsiteX108" fmla="*/ 272548 w 1104900"/>
                <a:gd name="connsiteY108" fmla="*/ 972319 h 1171575"/>
                <a:gd name="connsiteX109" fmla="*/ 204807 w 1104900"/>
                <a:gd name="connsiteY109" fmla="*/ 955027 h 1171575"/>
                <a:gd name="connsiteX110" fmla="*/ 208289 w 1104900"/>
                <a:gd name="connsiteY110" fmla="*/ 834145 h 1171575"/>
                <a:gd name="connsiteX111" fmla="*/ 203699 w 1104900"/>
                <a:gd name="connsiteY111" fmla="*/ 821721 h 1171575"/>
                <a:gd name="connsiteX112" fmla="*/ 195785 w 1104900"/>
                <a:gd name="connsiteY112" fmla="*/ 812580 h 1171575"/>
                <a:gd name="connsiteX113" fmla="*/ 183282 w 1104900"/>
                <a:gd name="connsiteY113" fmla="*/ 803954 h 1171575"/>
                <a:gd name="connsiteX114" fmla="*/ 175843 w 1104900"/>
                <a:gd name="connsiteY114" fmla="*/ 800156 h 1171575"/>
                <a:gd name="connsiteX115" fmla="*/ 134375 w 1104900"/>
                <a:gd name="connsiteY115" fmla="*/ 793667 h 1171575"/>
                <a:gd name="connsiteX116" fmla="*/ 82461 w 1104900"/>
                <a:gd name="connsiteY116" fmla="*/ 659331 h 1171575"/>
                <a:gd name="connsiteX117" fmla="*/ 77396 w 1104900"/>
                <a:gd name="connsiteY117" fmla="*/ 639349 h 1171575"/>
                <a:gd name="connsiteX118" fmla="*/ 64259 w 1104900"/>
                <a:gd name="connsiteY118" fmla="*/ 591906 h 1171575"/>
                <a:gd name="connsiteX119" fmla="*/ 60936 w 1104900"/>
                <a:gd name="connsiteY119" fmla="*/ 554118 h 1171575"/>
                <a:gd name="connsiteX120" fmla="*/ 56346 w 1104900"/>
                <a:gd name="connsiteY120" fmla="*/ 505014 h 1171575"/>
                <a:gd name="connsiteX121" fmla="*/ 26748 w 1104900"/>
                <a:gd name="connsiteY121" fmla="*/ 514708 h 1171575"/>
                <a:gd name="connsiteX122" fmla="*/ 11396 w 1104900"/>
                <a:gd name="connsiteY122" fmla="*/ 515816 h 1171575"/>
                <a:gd name="connsiteX123" fmla="*/ 15986 w 1104900"/>
                <a:gd name="connsiteY123" fmla="*/ 386862 h 1171575"/>
                <a:gd name="connsiteX124" fmla="*/ 14878 w 1104900"/>
                <a:gd name="connsiteY124" fmla="*/ 342070 h 1171575"/>
                <a:gd name="connsiteX125" fmla="*/ 15986 w 1104900"/>
                <a:gd name="connsiteY125" fmla="*/ 292966 h 1171575"/>
                <a:gd name="connsiteX126" fmla="*/ 9180 w 1104900"/>
                <a:gd name="connsiteY126" fmla="*/ 181818 h 1171575"/>
                <a:gd name="connsiteX127" fmla="*/ 0 w 1104900"/>
                <a:gd name="connsiteY127" fmla="*/ 175368 h 1171575"/>
                <a:gd name="connsiteX128" fmla="*/ 5065 w 1104900"/>
                <a:gd name="connsiteY128" fmla="*/ 0 h 1171575"/>
                <a:gd name="connsiteX129" fmla="*/ 180908 w 1104900"/>
                <a:gd name="connsiteY129" fmla="*/ 12939 h 1171575"/>
                <a:gd name="connsiteX130" fmla="*/ 390938 w 1104900"/>
                <a:gd name="connsiteY130" fmla="*/ 80918 h 1171575"/>
                <a:gd name="connsiteX131" fmla="*/ 529744 w 1104900"/>
                <a:gd name="connsiteY131" fmla="*/ 93857 h 1171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Lst>
              <a:rect l="l" t="t" r="r" b="b"/>
              <a:pathLst>
                <a:path w="1104900" h="1171575">
                  <a:moveTo>
                    <a:pt x="529744" y="93857"/>
                  </a:moveTo>
                  <a:lnTo>
                    <a:pt x="529744" y="93857"/>
                  </a:lnTo>
                  <a:lnTo>
                    <a:pt x="508219" y="109526"/>
                  </a:lnTo>
                  <a:lnTo>
                    <a:pt x="497298" y="142407"/>
                  </a:lnTo>
                  <a:lnTo>
                    <a:pt x="496190" y="148343"/>
                  </a:lnTo>
                  <a:lnTo>
                    <a:pt x="501888" y="157523"/>
                  </a:lnTo>
                  <a:lnTo>
                    <a:pt x="515499" y="168839"/>
                  </a:lnTo>
                  <a:lnTo>
                    <a:pt x="525787" y="188307"/>
                  </a:lnTo>
                  <a:lnTo>
                    <a:pt x="526895" y="201246"/>
                  </a:lnTo>
                  <a:lnTo>
                    <a:pt x="534967" y="221742"/>
                  </a:lnTo>
                  <a:lnTo>
                    <a:pt x="534334" y="237372"/>
                  </a:lnTo>
                  <a:lnTo>
                    <a:pt x="533701" y="246037"/>
                  </a:lnTo>
                  <a:lnTo>
                    <a:pt x="541773" y="268156"/>
                  </a:lnTo>
                  <a:lnTo>
                    <a:pt x="545730" y="281095"/>
                  </a:lnTo>
                  <a:lnTo>
                    <a:pt x="558234" y="298347"/>
                  </a:lnTo>
                  <a:lnTo>
                    <a:pt x="566147" y="307013"/>
                  </a:lnTo>
                  <a:lnTo>
                    <a:pt x="571845" y="317221"/>
                  </a:lnTo>
                  <a:lnTo>
                    <a:pt x="577543" y="339340"/>
                  </a:lnTo>
                  <a:lnTo>
                    <a:pt x="591313" y="360945"/>
                  </a:lnTo>
                  <a:lnTo>
                    <a:pt x="606032" y="371707"/>
                  </a:lnTo>
                  <a:lnTo>
                    <a:pt x="619644" y="376060"/>
                  </a:lnTo>
                  <a:lnTo>
                    <a:pt x="622018" y="390067"/>
                  </a:lnTo>
                  <a:lnTo>
                    <a:pt x="612363" y="396002"/>
                  </a:lnTo>
                  <a:lnTo>
                    <a:pt x="584349" y="396556"/>
                  </a:lnTo>
                  <a:lnTo>
                    <a:pt x="565039" y="400869"/>
                  </a:lnTo>
                  <a:lnTo>
                    <a:pt x="536075" y="403560"/>
                  </a:lnTo>
                  <a:lnTo>
                    <a:pt x="522463" y="408427"/>
                  </a:lnTo>
                  <a:lnTo>
                    <a:pt x="515025" y="410564"/>
                  </a:lnTo>
                  <a:lnTo>
                    <a:pt x="480837" y="411671"/>
                  </a:lnTo>
                  <a:lnTo>
                    <a:pt x="479729" y="420297"/>
                  </a:lnTo>
                  <a:lnTo>
                    <a:pt x="467701" y="434859"/>
                  </a:lnTo>
                  <a:lnTo>
                    <a:pt x="456938" y="446175"/>
                  </a:lnTo>
                  <a:lnTo>
                    <a:pt x="445542" y="458600"/>
                  </a:lnTo>
                  <a:lnTo>
                    <a:pt x="439369" y="461290"/>
                  </a:lnTo>
                  <a:lnTo>
                    <a:pt x="437628" y="466157"/>
                  </a:lnTo>
                  <a:lnTo>
                    <a:pt x="433672" y="572993"/>
                  </a:lnTo>
                  <a:lnTo>
                    <a:pt x="437628" y="594557"/>
                  </a:lnTo>
                  <a:lnTo>
                    <a:pt x="450607" y="623166"/>
                  </a:lnTo>
                  <a:lnTo>
                    <a:pt x="451240" y="630723"/>
                  </a:lnTo>
                  <a:lnTo>
                    <a:pt x="446175" y="636658"/>
                  </a:lnTo>
                  <a:lnTo>
                    <a:pt x="443801" y="643108"/>
                  </a:lnTo>
                  <a:lnTo>
                    <a:pt x="441585" y="657195"/>
                  </a:lnTo>
                  <a:lnTo>
                    <a:pt x="434780" y="661468"/>
                  </a:lnTo>
                  <a:lnTo>
                    <a:pt x="428449" y="669579"/>
                  </a:lnTo>
                  <a:lnTo>
                    <a:pt x="422751" y="680896"/>
                  </a:lnTo>
                  <a:lnTo>
                    <a:pt x="421643" y="690630"/>
                  </a:lnTo>
                  <a:lnTo>
                    <a:pt x="424492" y="706260"/>
                  </a:lnTo>
                  <a:lnTo>
                    <a:pt x="422276" y="727864"/>
                  </a:lnTo>
                  <a:lnTo>
                    <a:pt x="419427" y="747807"/>
                  </a:lnTo>
                  <a:lnTo>
                    <a:pt x="411513" y="764544"/>
                  </a:lnTo>
                  <a:lnTo>
                    <a:pt x="471816" y="770479"/>
                  </a:lnTo>
                  <a:lnTo>
                    <a:pt x="522463" y="775346"/>
                  </a:lnTo>
                  <a:lnTo>
                    <a:pt x="535442" y="776969"/>
                  </a:lnTo>
                  <a:lnTo>
                    <a:pt x="550320" y="772102"/>
                  </a:lnTo>
                  <a:lnTo>
                    <a:pt x="554751" y="773170"/>
                  </a:lnTo>
                  <a:lnTo>
                    <a:pt x="566147" y="773170"/>
                  </a:lnTo>
                  <a:lnTo>
                    <a:pt x="573586" y="772656"/>
                  </a:lnTo>
                  <a:lnTo>
                    <a:pt x="579284" y="772102"/>
                  </a:lnTo>
                  <a:lnTo>
                    <a:pt x="585615" y="769411"/>
                  </a:lnTo>
                  <a:lnTo>
                    <a:pt x="646392" y="768857"/>
                  </a:lnTo>
                  <a:lnTo>
                    <a:pt x="673141" y="769411"/>
                  </a:lnTo>
                  <a:lnTo>
                    <a:pt x="707961" y="771033"/>
                  </a:lnTo>
                  <a:lnTo>
                    <a:pt x="723314" y="771033"/>
                  </a:lnTo>
                  <a:lnTo>
                    <a:pt x="733443" y="772102"/>
                  </a:lnTo>
                  <a:lnTo>
                    <a:pt x="746105" y="770479"/>
                  </a:lnTo>
                  <a:lnTo>
                    <a:pt x="740882" y="781242"/>
                  </a:lnTo>
                  <a:lnTo>
                    <a:pt x="740249" y="792044"/>
                  </a:lnTo>
                  <a:lnTo>
                    <a:pt x="745472" y="809890"/>
                  </a:lnTo>
                  <a:lnTo>
                    <a:pt x="750537" y="825519"/>
                  </a:lnTo>
                  <a:lnTo>
                    <a:pt x="748321" y="840080"/>
                  </a:lnTo>
                  <a:lnTo>
                    <a:pt x="740882" y="851437"/>
                  </a:lnTo>
                  <a:lnTo>
                    <a:pt x="725529" y="862753"/>
                  </a:lnTo>
                  <a:lnTo>
                    <a:pt x="720465" y="872448"/>
                  </a:lnTo>
                  <a:lnTo>
                    <a:pt x="716983" y="902678"/>
                  </a:lnTo>
                  <a:lnTo>
                    <a:pt x="716983" y="923728"/>
                  </a:lnTo>
                  <a:lnTo>
                    <a:pt x="715875" y="936707"/>
                  </a:lnTo>
                  <a:lnTo>
                    <a:pt x="715242" y="943711"/>
                  </a:lnTo>
                  <a:lnTo>
                    <a:pt x="769371" y="940980"/>
                  </a:lnTo>
                  <a:lnTo>
                    <a:pt x="780134" y="940466"/>
                  </a:lnTo>
                  <a:lnTo>
                    <a:pt x="835372" y="935599"/>
                  </a:lnTo>
                  <a:lnTo>
                    <a:pt x="866077" y="932908"/>
                  </a:lnTo>
                  <a:lnTo>
                    <a:pt x="908811" y="927527"/>
                  </a:lnTo>
                  <a:lnTo>
                    <a:pt x="944106" y="926419"/>
                  </a:lnTo>
                  <a:lnTo>
                    <a:pt x="990164" y="924282"/>
                  </a:lnTo>
                  <a:lnTo>
                    <a:pt x="990164" y="918862"/>
                  </a:lnTo>
                  <a:lnTo>
                    <a:pt x="1035114" y="924797"/>
                  </a:lnTo>
                  <a:lnTo>
                    <a:pt x="1056164" y="926419"/>
                  </a:lnTo>
                  <a:lnTo>
                    <a:pt x="1076107" y="924797"/>
                  </a:lnTo>
                  <a:lnTo>
                    <a:pt x="1085762" y="928041"/>
                  </a:lnTo>
                  <a:lnTo>
                    <a:pt x="1106179" y="929664"/>
                  </a:lnTo>
                  <a:lnTo>
                    <a:pt x="1105071" y="974970"/>
                  </a:lnTo>
                  <a:lnTo>
                    <a:pt x="1102855" y="1007376"/>
                  </a:lnTo>
                  <a:lnTo>
                    <a:pt x="1098265" y="1018139"/>
                  </a:lnTo>
                  <a:lnTo>
                    <a:pt x="1094783" y="1028941"/>
                  </a:lnTo>
                  <a:lnTo>
                    <a:pt x="1093201" y="1064553"/>
                  </a:lnTo>
                  <a:lnTo>
                    <a:pt x="1086395" y="1087226"/>
                  </a:lnTo>
                  <a:lnTo>
                    <a:pt x="1080697" y="1119079"/>
                  </a:lnTo>
                  <a:lnTo>
                    <a:pt x="1073258" y="1151446"/>
                  </a:lnTo>
                  <a:lnTo>
                    <a:pt x="1068985" y="1173327"/>
                  </a:lnTo>
                  <a:lnTo>
                    <a:pt x="932711" y="1115280"/>
                  </a:lnTo>
                  <a:lnTo>
                    <a:pt x="827616" y="1102618"/>
                  </a:lnTo>
                  <a:lnTo>
                    <a:pt x="719832" y="1088848"/>
                  </a:lnTo>
                  <a:lnTo>
                    <a:pt x="720939" y="1037053"/>
                  </a:lnTo>
                  <a:lnTo>
                    <a:pt x="579284" y="1017625"/>
                  </a:lnTo>
                  <a:lnTo>
                    <a:pt x="489384" y="1008445"/>
                  </a:lnTo>
                  <a:lnTo>
                    <a:pt x="402333" y="998750"/>
                  </a:lnTo>
                  <a:lnTo>
                    <a:pt x="339657" y="991707"/>
                  </a:lnTo>
                  <a:lnTo>
                    <a:pt x="311009" y="983556"/>
                  </a:lnTo>
                  <a:lnTo>
                    <a:pt x="272548" y="972319"/>
                  </a:lnTo>
                  <a:lnTo>
                    <a:pt x="204807" y="955027"/>
                  </a:lnTo>
                  <a:lnTo>
                    <a:pt x="208289" y="834145"/>
                  </a:lnTo>
                  <a:lnTo>
                    <a:pt x="203699" y="821721"/>
                  </a:lnTo>
                  <a:lnTo>
                    <a:pt x="195785" y="812580"/>
                  </a:lnTo>
                  <a:lnTo>
                    <a:pt x="183282" y="803954"/>
                  </a:lnTo>
                  <a:lnTo>
                    <a:pt x="175843" y="800156"/>
                  </a:lnTo>
                  <a:lnTo>
                    <a:pt x="134375" y="793667"/>
                  </a:lnTo>
                  <a:lnTo>
                    <a:pt x="82461" y="659331"/>
                  </a:lnTo>
                  <a:lnTo>
                    <a:pt x="77396" y="639349"/>
                  </a:lnTo>
                  <a:lnTo>
                    <a:pt x="64259" y="591906"/>
                  </a:lnTo>
                  <a:lnTo>
                    <a:pt x="60936" y="554118"/>
                  </a:lnTo>
                  <a:lnTo>
                    <a:pt x="56346" y="505014"/>
                  </a:lnTo>
                  <a:lnTo>
                    <a:pt x="26748" y="514708"/>
                  </a:lnTo>
                  <a:lnTo>
                    <a:pt x="11396" y="515816"/>
                  </a:lnTo>
                  <a:lnTo>
                    <a:pt x="15986" y="386862"/>
                  </a:lnTo>
                  <a:lnTo>
                    <a:pt x="14878" y="342070"/>
                  </a:lnTo>
                  <a:lnTo>
                    <a:pt x="15986" y="292966"/>
                  </a:lnTo>
                  <a:lnTo>
                    <a:pt x="9180" y="181818"/>
                  </a:lnTo>
                  <a:lnTo>
                    <a:pt x="0" y="175368"/>
                  </a:lnTo>
                  <a:lnTo>
                    <a:pt x="5065" y="0"/>
                  </a:lnTo>
                  <a:lnTo>
                    <a:pt x="180908" y="12939"/>
                  </a:lnTo>
                  <a:lnTo>
                    <a:pt x="390938" y="80918"/>
                  </a:lnTo>
                  <a:lnTo>
                    <a:pt x="529744" y="93857"/>
                  </a:lnTo>
                </a:path>
              </a:pathLst>
            </a:custGeom>
            <a:solidFill>
              <a:srgbClr val="FFFFFF"/>
            </a:solidFill>
            <a:ln w="5132" cap="flat">
              <a:solidFill>
                <a:srgbClr val="030000"/>
              </a:solidFill>
              <a:prstDash val="solid"/>
              <a:miter/>
            </a:ln>
          </xdr:spPr>
          <xdr:txBody>
            <a:bodyPr rtlCol="0" anchor="ctr"/>
            <a:lstStyle/>
            <a:p>
              <a:endParaRPr lang="en-US"/>
            </a:p>
          </xdr:txBody>
        </xdr:sp>
        <xdr:sp macro="" textlink="">
          <xdr:nvSpPr>
            <xdr:cNvPr id="114" name="21_1">
              <a:extLst>
                <a:ext uri="{FF2B5EF4-FFF2-40B4-BE49-F238E27FC236}">
                  <a16:creationId xmlns:a16="http://schemas.microsoft.com/office/drawing/2014/main" id="{1A42E814-BC2B-9444-8140-916AE1EAD190}"/>
                </a:ext>
              </a:extLst>
            </xdr:cNvPr>
            <xdr:cNvSpPr/>
          </xdr:nvSpPr>
          <xdr:spPr>
            <a:xfrm>
              <a:off x="5962626" y="3745771"/>
              <a:ext cx="1357842" cy="1117600"/>
            </a:xfrm>
            <a:custGeom>
              <a:avLst/>
              <a:gdLst>
                <a:gd name="connsiteX0" fmla="*/ 156533 w 1362075"/>
                <a:gd name="connsiteY0" fmla="*/ 352833 h 1066800"/>
                <a:gd name="connsiteX1" fmla="*/ 156533 w 1362075"/>
                <a:gd name="connsiteY1" fmla="*/ 352833 h 1066800"/>
                <a:gd name="connsiteX2" fmla="*/ 73439 w 1362075"/>
                <a:gd name="connsiteY2" fmla="*/ 379819 h 1066800"/>
                <a:gd name="connsiteX3" fmla="*/ 66633 w 1362075"/>
                <a:gd name="connsiteY3" fmla="*/ 348520 h 1066800"/>
                <a:gd name="connsiteX4" fmla="*/ 62993 w 1362075"/>
                <a:gd name="connsiteY4" fmla="*/ 343772 h 1066800"/>
                <a:gd name="connsiteX5" fmla="*/ 43842 w 1362075"/>
                <a:gd name="connsiteY5" fmla="*/ 360747 h 1066800"/>
                <a:gd name="connsiteX6" fmla="*/ 39569 w 1362075"/>
                <a:gd name="connsiteY6" fmla="*/ 359401 h 1066800"/>
                <a:gd name="connsiteX7" fmla="*/ 38144 w 1362075"/>
                <a:gd name="connsiteY7" fmla="*/ 348045 h 1066800"/>
                <a:gd name="connsiteX8" fmla="*/ 33712 w 1362075"/>
                <a:gd name="connsiteY8" fmla="*/ 344167 h 1066800"/>
                <a:gd name="connsiteX9" fmla="*/ 27540 w 1362075"/>
                <a:gd name="connsiteY9" fmla="*/ 318329 h 1066800"/>
                <a:gd name="connsiteX10" fmla="*/ 13137 w 1362075"/>
                <a:gd name="connsiteY10" fmla="*/ 238440 h 1066800"/>
                <a:gd name="connsiteX11" fmla="*/ 38777 w 1362075"/>
                <a:gd name="connsiteY11" fmla="*/ 237491 h 1066800"/>
                <a:gd name="connsiteX12" fmla="*/ 30547 w 1362075"/>
                <a:gd name="connsiteY12" fmla="*/ 217390 h 1066800"/>
                <a:gd name="connsiteX13" fmla="*/ 23266 w 1362075"/>
                <a:gd name="connsiteY13" fmla="*/ 164012 h 1066800"/>
                <a:gd name="connsiteX14" fmla="*/ 13928 w 1362075"/>
                <a:gd name="connsiteY14" fmla="*/ 131922 h 1066800"/>
                <a:gd name="connsiteX15" fmla="*/ 0 w 1362075"/>
                <a:gd name="connsiteY15" fmla="*/ 71184 h 1066800"/>
                <a:gd name="connsiteX16" fmla="*/ 108101 w 1362075"/>
                <a:gd name="connsiteY16" fmla="*/ 35058 h 1066800"/>
                <a:gd name="connsiteX17" fmla="*/ 156533 w 1362075"/>
                <a:gd name="connsiteY17" fmla="*/ 22633 h 1066800"/>
                <a:gd name="connsiteX18" fmla="*/ 414837 w 1362075"/>
                <a:gd name="connsiteY18" fmla="*/ 0 h 1066800"/>
                <a:gd name="connsiteX19" fmla="*/ 493341 w 1362075"/>
                <a:gd name="connsiteY19" fmla="*/ 4313 h 1066800"/>
                <a:gd name="connsiteX20" fmla="*/ 595745 w 1362075"/>
                <a:gd name="connsiteY20" fmla="*/ 25878 h 1066800"/>
                <a:gd name="connsiteX21" fmla="*/ 692450 w 1362075"/>
                <a:gd name="connsiteY21" fmla="*/ 50687 h 1066800"/>
                <a:gd name="connsiteX22" fmla="*/ 756235 w 1362075"/>
                <a:gd name="connsiteY22" fmla="*/ 59313 h 1066800"/>
                <a:gd name="connsiteX23" fmla="*/ 826825 w 1362075"/>
                <a:gd name="connsiteY23" fmla="*/ 63626 h 1066800"/>
                <a:gd name="connsiteX24" fmla="*/ 929228 w 1362075"/>
                <a:gd name="connsiteY24" fmla="*/ 73360 h 1066800"/>
                <a:gd name="connsiteX25" fmla="*/ 1012322 w 1362075"/>
                <a:gd name="connsiteY25" fmla="*/ 96033 h 1066800"/>
                <a:gd name="connsiteX26" fmla="*/ 1071517 w 1362075"/>
                <a:gd name="connsiteY26" fmla="*/ 104659 h 1066800"/>
                <a:gd name="connsiteX27" fmla="*/ 1135302 w 1362075"/>
                <a:gd name="connsiteY27" fmla="*/ 104659 h 1066800"/>
                <a:gd name="connsiteX28" fmla="*/ 1161892 w 1362075"/>
                <a:gd name="connsiteY28" fmla="*/ 119220 h 1066800"/>
                <a:gd name="connsiteX29" fmla="*/ 1156827 w 1362075"/>
                <a:gd name="connsiteY29" fmla="*/ 294588 h 1066800"/>
                <a:gd name="connsiteX30" fmla="*/ 1166007 w 1362075"/>
                <a:gd name="connsiteY30" fmla="*/ 301038 h 1066800"/>
                <a:gd name="connsiteX31" fmla="*/ 1172813 w 1362075"/>
                <a:gd name="connsiteY31" fmla="*/ 412186 h 1066800"/>
                <a:gd name="connsiteX32" fmla="*/ 963416 w 1362075"/>
                <a:gd name="connsiteY32" fmla="*/ 388445 h 1066800"/>
                <a:gd name="connsiteX33" fmla="*/ 964524 w 1362075"/>
                <a:gd name="connsiteY33" fmla="*/ 633414 h 1066800"/>
                <a:gd name="connsiteX34" fmla="*/ 1120424 w 1362075"/>
                <a:gd name="connsiteY34" fmla="*/ 632306 h 1066800"/>
                <a:gd name="connsiteX35" fmla="*/ 1126122 w 1362075"/>
                <a:gd name="connsiteY35" fmla="*/ 636658 h 1066800"/>
                <a:gd name="connsiteX36" fmla="*/ 1168223 w 1362075"/>
                <a:gd name="connsiteY36" fmla="*/ 635036 h 1066800"/>
                <a:gd name="connsiteX37" fmla="*/ 1183575 w 1362075"/>
                <a:gd name="connsiteY37" fmla="*/ 633928 h 1066800"/>
                <a:gd name="connsiteX38" fmla="*/ 1213173 w 1362075"/>
                <a:gd name="connsiteY38" fmla="*/ 624234 h 1066800"/>
                <a:gd name="connsiteX39" fmla="*/ 1217763 w 1362075"/>
                <a:gd name="connsiteY39" fmla="*/ 673338 h 1066800"/>
                <a:gd name="connsiteX40" fmla="*/ 1221086 w 1362075"/>
                <a:gd name="connsiteY40" fmla="*/ 711126 h 1066800"/>
                <a:gd name="connsiteX41" fmla="*/ 1234223 w 1362075"/>
                <a:gd name="connsiteY41" fmla="*/ 758569 h 1066800"/>
                <a:gd name="connsiteX42" fmla="*/ 1239288 w 1362075"/>
                <a:gd name="connsiteY42" fmla="*/ 778551 h 1066800"/>
                <a:gd name="connsiteX43" fmla="*/ 1291202 w 1362075"/>
                <a:gd name="connsiteY43" fmla="*/ 912887 h 1066800"/>
                <a:gd name="connsiteX44" fmla="*/ 1332670 w 1362075"/>
                <a:gd name="connsiteY44" fmla="*/ 919376 h 1066800"/>
                <a:gd name="connsiteX45" fmla="*/ 1340109 w 1362075"/>
                <a:gd name="connsiteY45" fmla="*/ 923174 h 1066800"/>
                <a:gd name="connsiteX46" fmla="*/ 1352612 w 1362075"/>
                <a:gd name="connsiteY46" fmla="*/ 931800 h 1066800"/>
                <a:gd name="connsiteX47" fmla="*/ 1360526 w 1362075"/>
                <a:gd name="connsiteY47" fmla="*/ 940941 h 1066800"/>
                <a:gd name="connsiteX48" fmla="*/ 1365116 w 1362075"/>
                <a:gd name="connsiteY48" fmla="*/ 953365 h 1066800"/>
                <a:gd name="connsiteX49" fmla="*/ 1361634 w 1362075"/>
                <a:gd name="connsiteY49" fmla="*/ 1074247 h 1066800"/>
                <a:gd name="connsiteX50" fmla="*/ 1278698 w 1362075"/>
                <a:gd name="connsiteY50" fmla="*/ 1053197 h 1066800"/>
                <a:gd name="connsiteX51" fmla="*/ 1174554 w 1362075"/>
                <a:gd name="connsiteY51" fmla="*/ 1021898 h 1066800"/>
                <a:gd name="connsiteX52" fmla="*/ 1109028 w 1362075"/>
                <a:gd name="connsiteY52" fmla="*/ 1001956 h 1066800"/>
                <a:gd name="connsiteX53" fmla="*/ 1024193 w 1362075"/>
                <a:gd name="connsiteY53" fmla="*/ 916131 h 1066800"/>
                <a:gd name="connsiteX54" fmla="*/ 900739 w 1362075"/>
                <a:gd name="connsiteY54" fmla="*/ 790422 h 1066800"/>
                <a:gd name="connsiteX55" fmla="*/ 876365 w 1362075"/>
                <a:gd name="connsiteY55" fmla="*/ 754810 h 1066800"/>
                <a:gd name="connsiteX56" fmla="*/ 832998 w 1362075"/>
                <a:gd name="connsiteY56" fmla="*/ 691659 h 1066800"/>
                <a:gd name="connsiteX57" fmla="*/ 734076 w 1362075"/>
                <a:gd name="connsiteY57" fmla="*/ 547075 h 1066800"/>
                <a:gd name="connsiteX58" fmla="*/ 732968 w 1362075"/>
                <a:gd name="connsiteY58" fmla="*/ 543831 h 1066800"/>
                <a:gd name="connsiteX59" fmla="*/ 689601 w 1362075"/>
                <a:gd name="connsiteY59" fmla="*/ 480165 h 1066800"/>
                <a:gd name="connsiteX60" fmla="*/ 703846 w 1362075"/>
                <a:gd name="connsiteY60" fmla="*/ 487168 h 1066800"/>
                <a:gd name="connsiteX61" fmla="*/ 738666 w 1362075"/>
                <a:gd name="connsiteY61" fmla="*/ 496902 h 1066800"/>
                <a:gd name="connsiteX62" fmla="*/ 739141 w 1362075"/>
                <a:gd name="connsiteY62" fmla="*/ 462873 h 1066800"/>
                <a:gd name="connsiteX63" fmla="*/ 745947 w 1362075"/>
                <a:gd name="connsiteY63" fmla="*/ 439172 h 1066800"/>
                <a:gd name="connsiteX64" fmla="*/ 747688 w 1362075"/>
                <a:gd name="connsiteY64" fmla="*/ 425639 h 1066800"/>
                <a:gd name="connsiteX65" fmla="*/ 750537 w 1362075"/>
                <a:gd name="connsiteY65" fmla="*/ 408941 h 1066800"/>
                <a:gd name="connsiteX66" fmla="*/ 751012 w 1362075"/>
                <a:gd name="connsiteY66" fmla="*/ 392758 h 1066800"/>
                <a:gd name="connsiteX67" fmla="*/ 751012 w 1362075"/>
                <a:gd name="connsiteY67" fmla="*/ 392758 h 1066800"/>
                <a:gd name="connsiteX68" fmla="*/ 741515 w 1362075"/>
                <a:gd name="connsiteY68" fmla="*/ 393312 h 1066800"/>
                <a:gd name="connsiteX69" fmla="*/ 726004 w 1362075"/>
                <a:gd name="connsiteY69" fmla="*/ 405697 h 1066800"/>
                <a:gd name="connsiteX70" fmla="*/ 698148 w 1362075"/>
                <a:gd name="connsiteY70" fmla="*/ 428369 h 1066800"/>
                <a:gd name="connsiteX71" fmla="*/ 686277 w 1362075"/>
                <a:gd name="connsiteY71" fmla="*/ 434819 h 1066800"/>
                <a:gd name="connsiteX72" fmla="*/ 664119 w 1362075"/>
                <a:gd name="connsiteY72" fmla="*/ 440754 h 1066800"/>
                <a:gd name="connsiteX73" fmla="*/ 660004 w 1362075"/>
                <a:gd name="connsiteY73" fmla="*/ 440240 h 1066800"/>
                <a:gd name="connsiteX74" fmla="*/ 671716 w 1362075"/>
                <a:gd name="connsiteY74" fmla="*/ 452111 h 1066800"/>
                <a:gd name="connsiteX75" fmla="*/ 682004 w 1362075"/>
                <a:gd name="connsiteY75" fmla="*/ 463704 h 1066800"/>
                <a:gd name="connsiteX76" fmla="*/ 687385 w 1362075"/>
                <a:gd name="connsiteY76" fmla="*/ 473398 h 1066800"/>
                <a:gd name="connsiteX77" fmla="*/ 687069 w 1362075"/>
                <a:gd name="connsiteY77" fmla="*/ 477197 h 1066800"/>
                <a:gd name="connsiteX78" fmla="*/ 670608 w 1362075"/>
                <a:gd name="connsiteY78" fmla="*/ 462082 h 1066800"/>
                <a:gd name="connsiteX79" fmla="*/ 650349 w 1362075"/>
                <a:gd name="connsiteY79" fmla="*/ 446729 h 1066800"/>
                <a:gd name="connsiteX80" fmla="*/ 635630 w 1362075"/>
                <a:gd name="connsiteY80" fmla="*/ 439409 h 1066800"/>
                <a:gd name="connsiteX81" fmla="*/ 630248 w 1362075"/>
                <a:gd name="connsiteY81" fmla="*/ 453733 h 1066800"/>
                <a:gd name="connsiteX82" fmla="*/ 596378 w 1362075"/>
                <a:gd name="connsiteY82" fmla="*/ 435927 h 1066800"/>
                <a:gd name="connsiteX83" fmla="*/ 561399 w 1362075"/>
                <a:gd name="connsiteY83" fmla="*/ 420535 h 1066800"/>
                <a:gd name="connsiteX84" fmla="*/ 535759 w 1362075"/>
                <a:gd name="connsiteY84" fmla="*/ 408110 h 1066800"/>
                <a:gd name="connsiteX85" fmla="*/ 503787 w 1362075"/>
                <a:gd name="connsiteY85" fmla="*/ 394103 h 1066800"/>
                <a:gd name="connsiteX86" fmla="*/ 469442 w 1362075"/>
                <a:gd name="connsiteY86" fmla="*/ 376020 h 1066800"/>
                <a:gd name="connsiteX87" fmla="*/ 436521 w 1362075"/>
                <a:gd name="connsiteY87" fmla="*/ 360905 h 1066800"/>
                <a:gd name="connsiteX88" fmla="*/ 408506 w 1362075"/>
                <a:gd name="connsiteY88" fmla="*/ 349588 h 1066800"/>
                <a:gd name="connsiteX89" fmla="*/ 382866 w 1362075"/>
                <a:gd name="connsiteY89" fmla="*/ 337203 h 1066800"/>
                <a:gd name="connsiteX90" fmla="*/ 367038 w 1362075"/>
                <a:gd name="connsiteY90" fmla="*/ 330160 h 1066800"/>
                <a:gd name="connsiteX91" fmla="*/ 358966 w 1362075"/>
                <a:gd name="connsiteY91" fmla="*/ 367909 h 1066800"/>
                <a:gd name="connsiteX92" fmla="*/ 321455 w 1362075"/>
                <a:gd name="connsiteY92" fmla="*/ 364150 h 1066800"/>
                <a:gd name="connsiteX93" fmla="*/ 327786 w 1362075"/>
                <a:gd name="connsiteY93" fmla="*/ 321534 h 1066800"/>
                <a:gd name="connsiteX94" fmla="*/ 294232 w 1362075"/>
                <a:gd name="connsiteY94" fmla="*/ 320466 h 1066800"/>
                <a:gd name="connsiteX95" fmla="*/ 243584 w 1362075"/>
                <a:gd name="connsiteY95" fmla="*/ 330714 h 1066800"/>
                <a:gd name="connsiteX96" fmla="*/ 192936 w 1362075"/>
                <a:gd name="connsiteY96" fmla="*/ 342031 h 1066800"/>
                <a:gd name="connsiteX97" fmla="*/ 156533 w 1362075"/>
                <a:gd name="connsiteY97" fmla="*/ 352833 h 1066800"/>
                <a:gd name="connsiteX98" fmla="*/ 820652 w 1362075"/>
                <a:gd name="connsiteY98" fmla="*/ 149451 h 1066800"/>
                <a:gd name="connsiteX99" fmla="*/ 820652 w 1362075"/>
                <a:gd name="connsiteY99" fmla="*/ 149451 h 1066800"/>
                <a:gd name="connsiteX100" fmla="*/ 803717 w 1362075"/>
                <a:gd name="connsiteY100" fmla="*/ 148620 h 1066800"/>
                <a:gd name="connsiteX101" fmla="*/ 797544 w 1362075"/>
                <a:gd name="connsiteY101" fmla="*/ 157839 h 1066800"/>
                <a:gd name="connsiteX102" fmla="*/ 798494 w 1362075"/>
                <a:gd name="connsiteY102" fmla="*/ 168641 h 1066800"/>
                <a:gd name="connsiteX103" fmla="*/ 787415 w 1362075"/>
                <a:gd name="connsiteY103" fmla="*/ 177544 h 1066800"/>
                <a:gd name="connsiteX104" fmla="*/ 759717 w 1362075"/>
                <a:gd name="connsiteY104" fmla="*/ 177663 h 1066800"/>
                <a:gd name="connsiteX105" fmla="*/ 753544 w 1362075"/>
                <a:gd name="connsiteY105" fmla="*/ 181026 h 1066800"/>
                <a:gd name="connsiteX106" fmla="*/ 739774 w 1362075"/>
                <a:gd name="connsiteY106" fmla="*/ 182372 h 1066800"/>
                <a:gd name="connsiteX107" fmla="*/ 735342 w 1362075"/>
                <a:gd name="connsiteY107" fmla="*/ 186645 h 1066800"/>
                <a:gd name="connsiteX108" fmla="*/ 735659 w 1362075"/>
                <a:gd name="connsiteY108" fmla="*/ 194123 h 1066800"/>
                <a:gd name="connsiteX109" fmla="*/ 730278 w 1362075"/>
                <a:gd name="connsiteY109" fmla="*/ 196260 h 1066800"/>
                <a:gd name="connsiteX110" fmla="*/ 730119 w 1362075"/>
                <a:gd name="connsiteY110" fmla="*/ 274012 h 1066800"/>
                <a:gd name="connsiteX111" fmla="*/ 725688 w 1362075"/>
                <a:gd name="connsiteY111" fmla="*/ 282520 h 1066800"/>
                <a:gd name="connsiteX112" fmla="*/ 726479 w 1362075"/>
                <a:gd name="connsiteY112" fmla="*/ 311286 h 1066800"/>
                <a:gd name="connsiteX113" fmla="*/ 730278 w 1362075"/>
                <a:gd name="connsiteY113" fmla="*/ 320624 h 1066800"/>
                <a:gd name="connsiteX114" fmla="*/ 730436 w 1362075"/>
                <a:gd name="connsiteY114" fmla="*/ 352160 h 1066800"/>
                <a:gd name="connsiteX115" fmla="*/ 745947 w 1362075"/>
                <a:gd name="connsiteY115" fmla="*/ 366880 h 1066800"/>
                <a:gd name="connsiteX116" fmla="*/ 771271 w 1362075"/>
                <a:gd name="connsiteY116" fmla="*/ 366326 h 1066800"/>
                <a:gd name="connsiteX117" fmla="*/ 790897 w 1362075"/>
                <a:gd name="connsiteY117" fmla="*/ 370322 h 1066800"/>
                <a:gd name="connsiteX118" fmla="*/ 838062 w 1362075"/>
                <a:gd name="connsiteY118" fmla="*/ 377722 h 1066800"/>
                <a:gd name="connsiteX119" fmla="*/ 872091 w 1362075"/>
                <a:gd name="connsiteY119" fmla="*/ 379225 h 1066800"/>
                <a:gd name="connsiteX120" fmla="*/ 865127 w 1362075"/>
                <a:gd name="connsiteY120" fmla="*/ 371272 h 1066800"/>
                <a:gd name="connsiteX121" fmla="*/ 871617 w 1362075"/>
                <a:gd name="connsiteY121" fmla="*/ 345948 h 1066800"/>
                <a:gd name="connsiteX122" fmla="*/ 871617 w 1362075"/>
                <a:gd name="connsiteY122" fmla="*/ 324818 h 1066800"/>
                <a:gd name="connsiteX123" fmla="*/ 874782 w 1362075"/>
                <a:gd name="connsiteY123" fmla="*/ 294667 h 1066800"/>
                <a:gd name="connsiteX124" fmla="*/ 875732 w 1362075"/>
                <a:gd name="connsiteY124" fmla="*/ 239271 h 1066800"/>
                <a:gd name="connsiteX125" fmla="*/ 889027 w 1362075"/>
                <a:gd name="connsiteY125" fmla="*/ 193649 h 1066800"/>
                <a:gd name="connsiteX126" fmla="*/ 833789 w 1362075"/>
                <a:gd name="connsiteY126" fmla="*/ 193016 h 1066800"/>
                <a:gd name="connsiteX127" fmla="*/ 822710 w 1362075"/>
                <a:gd name="connsiteY127" fmla="*/ 186012 h 1066800"/>
                <a:gd name="connsiteX128" fmla="*/ 820652 w 1362075"/>
                <a:gd name="connsiteY128" fmla="*/ 149451 h 10668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Lst>
              <a:rect l="l" t="t" r="r" b="b"/>
              <a:pathLst>
                <a:path w="1362075" h="1066800">
                  <a:moveTo>
                    <a:pt x="156533" y="352833"/>
                  </a:moveTo>
                  <a:lnTo>
                    <a:pt x="156533" y="352833"/>
                  </a:lnTo>
                  <a:lnTo>
                    <a:pt x="73439" y="379819"/>
                  </a:lnTo>
                  <a:lnTo>
                    <a:pt x="66633" y="348520"/>
                  </a:lnTo>
                  <a:lnTo>
                    <a:pt x="62993" y="343772"/>
                  </a:lnTo>
                  <a:lnTo>
                    <a:pt x="43842" y="360747"/>
                  </a:lnTo>
                  <a:lnTo>
                    <a:pt x="39569" y="359401"/>
                  </a:lnTo>
                  <a:lnTo>
                    <a:pt x="38144" y="348045"/>
                  </a:lnTo>
                  <a:lnTo>
                    <a:pt x="33712" y="344167"/>
                  </a:lnTo>
                  <a:lnTo>
                    <a:pt x="27540" y="318329"/>
                  </a:lnTo>
                  <a:lnTo>
                    <a:pt x="13137" y="238440"/>
                  </a:lnTo>
                  <a:lnTo>
                    <a:pt x="38777" y="237491"/>
                  </a:lnTo>
                  <a:lnTo>
                    <a:pt x="30547" y="217390"/>
                  </a:lnTo>
                  <a:lnTo>
                    <a:pt x="23266" y="164012"/>
                  </a:lnTo>
                  <a:lnTo>
                    <a:pt x="13928" y="131922"/>
                  </a:lnTo>
                  <a:lnTo>
                    <a:pt x="0" y="71184"/>
                  </a:lnTo>
                  <a:lnTo>
                    <a:pt x="108101" y="35058"/>
                  </a:lnTo>
                  <a:lnTo>
                    <a:pt x="156533" y="22633"/>
                  </a:lnTo>
                  <a:lnTo>
                    <a:pt x="414837" y="0"/>
                  </a:lnTo>
                  <a:lnTo>
                    <a:pt x="493341" y="4313"/>
                  </a:lnTo>
                  <a:lnTo>
                    <a:pt x="595745" y="25878"/>
                  </a:lnTo>
                  <a:lnTo>
                    <a:pt x="692450" y="50687"/>
                  </a:lnTo>
                  <a:lnTo>
                    <a:pt x="756235" y="59313"/>
                  </a:lnTo>
                  <a:lnTo>
                    <a:pt x="826825" y="63626"/>
                  </a:lnTo>
                  <a:lnTo>
                    <a:pt x="929228" y="73360"/>
                  </a:lnTo>
                  <a:lnTo>
                    <a:pt x="1012322" y="96033"/>
                  </a:lnTo>
                  <a:lnTo>
                    <a:pt x="1071517" y="104659"/>
                  </a:lnTo>
                  <a:lnTo>
                    <a:pt x="1135302" y="104659"/>
                  </a:lnTo>
                  <a:lnTo>
                    <a:pt x="1161892" y="119220"/>
                  </a:lnTo>
                  <a:lnTo>
                    <a:pt x="1156827" y="294588"/>
                  </a:lnTo>
                  <a:lnTo>
                    <a:pt x="1166007" y="301038"/>
                  </a:lnTo>
                  <a:lnTo>
                    <a:pt x="1172813" y="412186"/>
                  </a:lnTo>
                  <a:lnTo>
                    <a:pt x="963416" y="388445"/>
                  </a:lnTo>
                  <a:lnTo>
                    <a:pt x="964524" y="633414"/>
                  </a:lnTo>
                  <a:lnTo>
                    <a:pt x="1120424" y="632306"/>
                  </a:lnTo>
                  <a:lnTo>
                    <a:pt x="1126122" y="636658"/>
                  </a:lnTo>
                  <a:lnTo>
                    <a:pt x="1168223" y="635036"/>
                  </a:lnTo>
                  <a:lnTo>
                    <a:pt x="1183575" y="633928"/>
                  </a:lnTo>
                  <a:lnTo>
                    <a:pt x="1213173" y="624234"/>
                  </a:lnTo>
                  <a:lnTo>
                    <a:pt x="1217763" y="673338"/>
                  </a:lnTo>
                  <a:lnTo>
                    <a:pt x="1221086" y="711126"/>
                  </a:lnTo>
                  <a:lnTo>
                    <a:pt x="1234223" y="758569"/>
                  </a:lnTo>
                  <a:lnTo>
                    <a:pt x="1239288" y="778551"/>
                  </a:lnTo>
                  <a:lnTo>
                    <a:pt x="1291202" y="912887"/>
                  </a:lnTo>
                  <a:lnTo>
                    <a:pt x="1332670" y="919376"/>
                  </a:lnTo>
                  <a:lnTo>
                    <a:pt x="1340109" y="923174"/>
                  </a:lnTo>
                  <a:lnTo>
                    <a:pt x="1352612" y="931800"/>
                  </a:lnTo>
                  <a:lnTo>
                    <a:pt x="1360526" y="940941"/>
                  </a:lnTo>
                  <a:lnTo>
                    <a:pt x="1365116" y="953365"/>
                  </a:lnTo>
                  <a:lnTo>
                    <a:pt x="1361634" y="1074247"/>
                  </a:lnTo>
                  <a:lnTo>
                    <a:pt x="1278698" y="1053197"/>
                  </a:lnTo>
                  <a:lnTo>
                    <a:pt x="1174554" y="1021898"/>
                  </a:lnTo>
                  <a:lnTo>
                    <a:pt x="1109028" y="1001956"/>
                  </a:lnTo>
                  <a:lnTo>
                    <a:pt x="1024193" y="916131"/>
                  </a:lnTo>
                  <a:lnTo>
                    <a:pt x="900739" y="790422"/>
                  </a:lnTo>
                  <a:lnTo>
                    <a:pt x="876365" y="754810"/>
                  </a:lnTo>
                  <a:lnTo>
                    <a:pt x="832998" y="691659"/>
                  </a:lnTo>
                  <a:lnTo>
                    <a:pt x="734076" y="547075"/>
                  </a:lnTo>
                  <a:lnTo>
                    <a:pt x="732968" y="543831"/>
                  </a:lnTo>
                  <a:lnTo>
                    <a:pt x="689601" y="480165"/>
                  </a:lnTo>
                  <a:lnTo>
                    <a:pt x="703846" y="487168"/>
                  </a:lnTo>
                  <a:lnTo>
                    <a:pt x="738666" y="496902"/>
                  </a:lnTo>
                  <a:lnTo>
                    <a:pt x="739141" y="462873"/>
                  </a:lnTo>
                  <a:lnTo>
                    <a:pt x="745947" y="439172"/>
                  </a:lnTo>
                  <a:lnTo>
                    <a:pt x="747688" y="425639"/>
                  </a:lnTo>
                  <a:lnTo>
                    <a:pt x="750537" y="408941"/>
                  </a:lnTo>
                  <a:lnTo>
                    <a:pt x="751012" y="392758"/>
                  </a:lnTo>
                  <a:lnTo>
                    <a:pt x="751012" y="392758"/>
                  </a:lnTo>
                  <a:lnTo>
                    <a:pt x="741515" y="393312"/>
                  </a:lnTo>
                  <a:lnTo>
                    <a:pt x="726004" y="405697"/>
                  </a:lnTo>
                  <a:lnTo>
                    <a:pt x="698148" y="428369"/>
                  </a:lnTo>
                  <a:lnTo>
                    <a:pt x="686277" y="434819"/>
                  </a:lnTo>
                  <a:lnTo>
                    <a:pt x="664119" y="440754"/>
                  </a:lnTo>
                  <a:lnTo>
                    <a:pt x="660004" y="440240"/>
                  </a:lnTo>
                  <a:lnTo>
                    <a:pt x="671716" y="452111"/>
                  </a:lnTo>
                  <a:lnTo>
                    <a:pt x="682004" y="463704"/>
                  </a:lnTo>
                  <a:lnTo>
                    <a:pt x="687385" y="473398"/>
                  </a:lnTo>
                  <a:lnTo>
                    <a:pt x="687069" y="477197"/>
                  </a:lnTo>
                  <a:lnTo>
                    <a:pt x="670608" y="462082"/>
                  </a:lnTo>
                  <a:lnTo>
                    <a:pt x="650349" y="446729"/>
                  </a:lnTo>
                  <a:lnTo>
                    <a:pt x="635630" y="439409"/>
                  </a:lnTo>
                  <a:lnTo>
                    <a:pt x="630248" y="453733"/>
                  </a:lnTo>
                  <a:lnTo>
                    <a:pt x="596378" y="435927"/>
                  </a:lnTo>
                  <a:lnTo>
                    <a:pt x="561399" y="420535"/>
                  </a:lnTo>
                  <a:lnTo>
                    <a:pt x="535759" y="408110"/>
                  </a:lnTo>
                  <a:lnTo>
                    <a:pt x="503787" y="394103"/>
                  </a:lnTo>
                  <a:lnTo>
                    <a:pt x="469442" y="376020"/>
                  </a:lnTo>
                  <a:lnTo>
                    <a:pt x="436521" y="360905"/>
                  </a:lnTo>
                  <a:lnTo>
                    <a:pt x="408506" y="349588"/>
                  </a:lnTo>
                  <a:lnTo>
                    <a:pt x="382866" y="337203"/>
                  </a:lnTo>
                  <a:lnTo>
                    <a:pt x="367038" y="330160"/>
                  </a:lnTo>
                  <a:lnTo>
                    <a:pt x="358966" y="367909"/>
                  </a:lnTo>
                  <a:lnTo>
                    <a:pt x="321455" y="364150"/>
                  </a:lnTo>
                  <a:lnTo>
                    <a:pt x="327786" y="321534"/>
                  </a:lnTo>
                  <a:lnTo>
                    <a:pt x="294232" y="320466"/>
                  </a:lnTo>
                  <a:lnTo>
                    <a:pt x="243584" y="330714"/>
                  </a:lnTo>
                  <a:lnTo>
                    <a:pt x="192936" y="342031"/>
                  </a:lnTo>
                  <a:lnTo>
                    <a:pt x="156533" y="352833"/>
                  </a:lnTo>
                  <a:moveTo>
                    <a:pt x="820652" y="149451"/>
                  </a:moveTo>
                  <a:lnTo>
                    <a:pt x="820652" y="149451"/>
                  </a:lnTo>
                  <a:lnTo>
                    <a:pt x="803717" y="148620"/>
                  </a:lnTo>
                  <a:lnTo>
                    <a:pt x="797544" y="157839"/>
                  </a:lnTo>
                  <a:lnTo>
                    <a:pt x="798494" y="168641"/>
                  </a:lnTo>
                  <a:lnTo>
                    <a:pt x="787415" y="177544"/>
                  </a:lnTo>
                  <a:lnTo>
                    <a:pt x="759717" y="177663"/>
                  </a:lnTo>
                  <a:lnTo>
                    <a:pt x="753544" y="181026"/>
                  </a:lnTo>
                  <a:lnTo>
                    <a:pt x="739774" y="182372"/>
                  </a:lnTo>
                  <a:lnTo>
                    <a:pt x="735342" y="186645"/>
                  </a:lnTo>
                  <a:lnTo>
                    <a:pt x="735659" y="194123"/>
                  </a:lnTo>
                  <a:lnTo>
                    <a:pt x="730278" y="196260"/>
                  </a:lnTo>
                  <a:lnTo>
                    <a:pt x="730119" y="274012"/>
                  </a:lnTo>
                  <a:lnTo>
                    <a:pt x="725688" y="282520"/>
                  </a:lnTo>
                  <a:lnTo>
                    <a:pt x="726479" y="311286"/>
                  </a:lnTo>
                  <a:lnTo>
                    <a:pt x="730278" y="320624"/>
                  </a:lnTo>
                  <a:lnTo>
                    <a:pt x="730436" y="352160"/>
                  </a:lnTo>
                  <a:lnTo>
                    <a:pt x="745947" y="366880"/>
                  </a:lnTo>
                  <a:lnTo>
                    <a:pt x="771271" y="366326"/>
                  </a:lnTo>
                  <a:lnTo>
                    <a:pt x="790897" y="370322"/>
                  </a:lnTo>
                  <a:lnTo>
                    <a:pt x="838062" y="377722"/>
                  </a:lnTo>
                  <a:lnTo>
                    <a:pt x="872091" y="379225"/>
                  </a:lnTo>
                  <a:lnTo>
                    <a:pt x="865127" y="371272"/>
                  </a:lnTo>
                  <a:lnTo>
                    <a:pt x="871617" y="345948"/>
                  </a:lnTo>
                  <a:lnTo>
                    <a:pt x="871617" y="324818"/>
                  </a:lnTo>
                  <a:lnTo>
                    <a:pt x="874782" y="294667"/>
                  </a:lnTo>
                  <a:lnTo>
                    <a:pt x="875732" y="239271"/>
                  </a:lnTo>
                  <a:lnTo>
                    <a:pt x="889027" y="193649"/>
                  </a:lnTo>
                  <a:lnTo>
                    <a:pt x="833789" y="193016"/>
                  </a:lnTo>
                  <a:lnTo>
                    <a:pt x="822710" y="186012"/>
                  </a:lnTo>
                  <a:lnTo>
                    <a:pt x="820652" y="149451"/>
                  </a:lnTo>
                </a:path>
              </a:pathLst>
            </a:custGeom>
            <a:solidFill>
              <a:srgbClr val="FFFFFF"/>
            </a:solidFill>
            <a:ln w="5132" cap="flat">
              <a:solidFill>
                <a:srgbClr val="030000"/>
              </a:solidFill>
              <a:prstDash val="solid"/>
              <a:miter/>
            </a:ln>
          </xdr:spPr>
          <xdr:txBody>
            <a:bodyPr rtlCol="0" anchor="ctr"/>
            <a:lstStyle/>
            <a:p>
              <a:endParaRPr lang="en-US"/>
            </a:p>
          </xdr:txBody>
        </xdr:sp>
        <xdr:sp macro="" textlink="">
          <xdr:nvSpPr>
            <xdr:cNvPr id="115" name="20_1">
              <a:extLst>
                <a:ext uri="{FF2B5EF4-FFF2-40B4-BE49-F238E27FC236}">
                  <a16:creationId xmlns:a16="http://schemas.microsoft.com/office/drawing/2014/main" id="{14517A7F-DE53-394F-ABC9-79498E5368AA}"/>
                </a:ext>
              </a:extLst>
            </xdr:cNvPr>
            <xdr:cNvSpPr/>
          </xdr:nvSpPr>
          <xdr:spPr>
            <a:xfrm>
              <a:off x="5628627" y="3816954"/>
              <a:ext cx="519642" cy="918634"/>
            </a:xfrm>
            <a:custGeom>
              <a:avLst/>
              <a:gdLst>
                <a:gd name="connsiteX0" fmla="*/ 431297 w 523875"/>
                <a:gd name="connsiteY0" fmla="*/ 884635 h 876300"/>
                <a:gd name="connsiteX1" fmla="*/ 431297 w 523875"/>
                <a:gd name="connsiteY1" fmla="*/ 884635 h 876300"/>
                <a:gd name="connsiteX2" fmla="*/ 313225 w 523875"/>
                <a:gd name="connsiteY2" fmla="*/ 840634 h 876300"/>
                <a:gd name="connsiteX3" fmla="*/ 312908 w 523875"/>
                <a:gd name="connsiteY3" fmla="*/ 836321 h 876300"/>
                <a:gd name="connsiteX4" fmla="*/ 315441 w 523875"/>
                <a:gd name="connsiteY4" fmla="*/ 823383 h 876300"/>
                <a:gd name="connsiteX5" fmla="*/ 315124 w 523875"/>
                <a:gd name="connsiteY5" fmla="*/ 816616 h 876300"/>
                <a:gd name="connsiteX6" fmla="*/ 308318 w 523875"/>
                <a:gd name="connsiteY6" fmla="*/ 804469 h 876300"/>
                <a:gd name="connsiteX7" fmla="*/ 300721 w 523875"/>
                <a:gd name="connsiteY7" fmla="*/ 804469 h 876300"/>
                <a:gd name="connsiteX8" fmla="*/ 286477 w 523875"/>
                <a:gd name="connsiteY8" fmla="*/ 800710 h 876300"/>
                <a:gd name="connsiteX9" fmla="*/ 269066 w 523875"/>
                <a:gd name="connsiteY9" fmla="*/ 794497 h 876300"/>
                <a:gd name="connsiteX10" fmla="*/ 253714 w 523875"/>
                <a:gd name="connsiteY10" fmla="*/ 783695 h 876300"/>
                <a:gd name="connsiteX11" fmla="*/ 249757 w 523875"/>
                <a:gd name="connsiteY11" fmla="*/ 776969 h 876300"/>
                <a:gd name="connsiteX12" fmla="*/ 245800 w 523875"/>
                <a:gd name="connsiteY12" fmla="*/ 769134 h 876300"/>
                <a:gd name="connsiteX13" fmla="*/ 236304 w 523875"/>
                <a:gd name="connsiteY13" fmla="*/ 752159 h 876300"/>
                <a:gd name="connsiteX14" fmla="*/ 229498 w 523875"/>
                <a:gd name="connsiteY14" fmla="*/ 745947 h 876300"/>
                <a:gd name="connsiteX15" fmla="*/ 218419 w 523875"/>
                <a:gd name="connsiteY15" fmla="*/ 741080 h 876300"/>
                <a:gd name="connsiteX16" fmla="*/ 213037 w 523875"/>
                <a:gd name="connsiteY16" fmla="*/ 641525 h 876300"/>
                <a:gd name="connsiteX17" fmla="*/ 209397 w 523875"/>
                <a:gd name="connsiteY17" fmla="*/ 616716 h 876300"/>
                <a:gd name="connsiteX18" fmla="*/ 208447 w 523875"/>
                <a:gd name="connsiteY18" fmla="*/ 587039 h 876300"/>
                <a:gd name="connsiteX19" fmla="*/ 207339 w 523875"/>
                <a:gd name="connsiteY19" fmla="*/ 570856 h 876300"/>
                <a:gd name="connsiteX20" fmla="*/ 195469 w 523875"/>
                <a:gd name="connsiteY20" fmla="*/ 558985 h 876300"/>
                <a:gd name="connsiteX21" fmla="*/ 188505 w 523875"/>
                <a:gd name="connsiteY21" fmla="*/ 548460 h 876300"/>
                <a:gd name="connsiteX22" fmla="*/ 184548 w 523875"/>
                <a:gd name="connsiteY22" fmla="*/ 541179 h 876300"/>
                <a:gd name="connsiteX23" fmla="*/ 185181 w 523875"/>
                <a:gd name="connsiteY23" fmla="*/ 526064 h 876300"/>
                <a:gd name="connsiteX24" fmla="*/ 186605 w 523875"/>
                <a:gd name="connsiteY24" fmla="*/ 512650 h 876300"/>
                <a:gd name="connsiteX25" fmla="*/ 186922 w 523875"/>
                <a:gd name="connsiteY25" fmla="*/ 496665 h 876300"/>
                <a:gd name="connsiteX26" fmla="*/ 184864 w 523875"/>
                <a:gd name="connsiteY26" fmla="*/ 483963 h 876300"/>
                <a:gd name="connsiteX27" fmla="*/ 185181 w 523875"/>
                <a:gd name="connsiteY27" fmla="*/ 410880 h 876300"/>
                <a:gd name="connsiteX28" fmla="*/ 88950 w 523875"/>
                <a:gd name="connsiteY28" fmla="*/ 360668 h 876300"/>
                <a:gd name="connsiteX29" fmla="*/ 76446 w 523875"/>
                <a:gd name="connsiteY29" fmla="*/ 347214 h 876300"/>
                <a:gd name="connsiteX30" fmla="*/ 75339 w 523875"/>
                <a:gd name="connsiteY30" fmla="*/ 326401 h 876300"/>
                <a:gd name="connsiteX31" fmla="*/ 8230 w 523875"/>
                <a:gd name="connsiteY31" fmla="*/ 331308 h 876300"/>
                <a:gd name="connsiteX32" fmla="*/ 4273 w 523875"/>
                <a:gd name="connsiteY32" fmla="*/ 298110 h 876300"/>
                <a:gd name="connsiteX33" fmla="*/ 0 w 523875"/>
                <a:gd name="connsiteY33" fmla="*/ 245523 h 876300"/>
                <a:gd name="connsiteX34" fmla="*/ 30072 w 523875"/>
                <a:gd name="connsiteY34" fmla="*/ 211494 h 876300"/>
                <a:gd name="connsiteX35" fmla="*/ 84993 w 523875"/>
                <a:gd name="connsiteY35" fmla="*/ 124364 h 876300"/>
                <a:gd name="connsiteX36" fmla="*/ 108893 w 523875"/>
                <a:gd name="connsiteY36" fmla="*/ 101731 h 876300"/>
                <a:gd name="connsiteX37" fmla="*/ 131051 w 523875"/>
                <a:gd name="connsiteY37" fmla="*/ 84716 h 876300"/>
                <a:gd name="connsiteX38" fmla="*/ 201641 w 523875"/>
                <a:gd name="connsiteY38" fmla="*/ 44238 h 876300"/>
                <a:gd name="connsiteX39" fmla="*/ 338232 w 523875"/>
                <a:gd name="connsiteY39" fmla="*/ 0 h 876300"/>
                <a:gd name="connsiteX40" fmla="*/ 352160 w 523875"/>
                <a:gd name="connsiteY40" fmla="*/ 60738 h 876300"/>
                <a:gd name="connsiteX41" fmla="*/ 361499 w 523875"/>
                <a:gd name="connsiteY41" fmla="*/ 92828 h 876300"/>
                <a:gd name="connsiteX42" fmla="*/ 361499 w 523875"/>
                <a:gd name="connsiteY42" fmla="*/ 92828 h 876300"/>
                <a:gd name="connsiteX43" fmla="*/ 368779 w 523875"/>
                <a:gd name="connsiteY43" fmla="*/ 146206 h 876300"/>
                <a:gd name="connsiteX44" fmla="*/ 377009 w 523875"/>
                <a:gd name="connsiteY44" fmla="*/ 166307 h 876300"/>
                <a:gd name="connsiteX45" fmla="*/ 351369 w 523875"/>
                <a:gd name="connsiteY45" fmla="*/ 167256 h 876300"/>
                <a:gd name="connsiteX46" fmla="*/ 365772 w 523875"/>
                <a:gd name="connsiteY46" fmla="*/ 247145 h 876300"/>
                <a:gd name="connsiteX47" fmla="*/ 371945 w 523875"/>
                <a:gd name="connsiteY47" fmla="*/ 272984 h 876300"/>
                <a:gd name="connsiteX48" fmla="*/ 376376 w 523875"/>
                <a:gd name="connsiteY48" fmla="*/ 276861 h 876300"/>
                <a:gd name="connsiteX49" fmla="*/ 377801 w 523875"/>
                <a:gd name="connsiteY49" fmla="*/ 288218 h 876300"/>
                <a:gd name="connsiteX50" fmla="*/ 382074 w 523875"/>
                <a:gd name="connsiteY50" fmla="*/ 289563 h 876300"/>
                <a:gd name="connsiteX51" fmla="*/ 401225 w 523875"/>
                <a:gd name="connsiteY51" fmla="*/ 272588 h 876300"/>
                <a:gd name="connsiteX52" fmla="*/ 404866 w 523875"/>
                <a:gd name="connsiteY52" fmla="*/ 277336 h 876300"/>
                <a:gd name="connsiteX53" fmla="*/ 411671 w 523875"/>
                <a:gd name="connsiteY53" fmla="*/ 308635 h 876300"/>
                <a:gd name="connsiteX54" fmla="*/ 494924 w 523875"/>
                <a:gd name="connsiteY54" fmla="*/ 281649 h 876300"/>
                <a:gd name="connsiteX55" fmla="*/ 498406 w 523875"/>
                <a:gd name="connsiteY55" fmla="*/ 309703 h 876300"/>
                <a:gd name="connsiteX56" fmla="*/ 494924 w 523875"/>
                <a:gd name="connsiteY56" fmla="*/ 384448 h 876300"/>
                <a:gd name="connsiteX57" fmla="*/ 482104 w 523875"/>
                <a:gd name="connsiteY57" fmla="*/ 434898 h 876300"/>
                <a:gd name="connsiteX58" fmla="*/ 531643 w 523875"/>
                <a:gd name="connsiteY58" fmla="*/ 446452 h 876300"/>
                <a:gd name="connsiteX59" fmla="*/ 485586 w 523875"/>
                <a:gd name="connsiteY59" fmla="*/ 535244 h 876300"/>
                <a:gd name="connsiteX60" fmla="*/ 447758 w 523875"/>
                <a:gd name="connsiteY60" fmla="*/ 516093 h 876300"/>
                <a:gd name="connsiteX61" fmla="*/ 427499 w 523875"/>
                <a:gd name="connsiteY61" fmla="*/ 578413 h 876300"/>
                <a:gd name="connsiteX62" fmla="*/ 420377 w 523875"/>
                <a:gd name="connsiteY62" fmla="*/ 591352 h 876300"/>
                <a:gd name="connsiteX63" fmla="*/ 415945 w 523875"/>
                <a:gd name="connsiteY63" fmla="*/ 600770 h 876300"/>
                <a:gd name="connsiteX64" fmla="*/ 368463 w 523875"/>
                <a:gd name="connsiteY64" fmla="*/ 601324 h 876300"/>
                <a:gd name="connsiteX65" fmla="*/ 368463 w 523875"/>
                <a:gd name="connsiteY65" fmla="*/ 607299 h 876300"/>
                <a:gd name="connsiteX66" fmla="*/ 356750 w 523875"/>
                <a:gd name="connsiteY66" fmla="*/ 618615 h 876300"/>
                <a:gd name="connsiteX67" fmla="*/ 340290 w 523875"/>
                <a:gd name="connsiteY67" fmla="*/ 620237 h 876300"/>
                <a:gd name="connsiteX68" fmla="*/ 336491 w 523875"/>
                <a:gd name="connsiteY68" fmla="*/ 625619 h 876300"/>
                <a:gd name="connsiteX69" fmla="*/ 330793 w 523875"/>
                <a:gd name="connsiteY69" fmla="*/ 627795 h 876300"/>
                <a:gd name="connsiteX70" fmla="*/ 332534 w 523875"/>
                <a:gd name="connsiteY70" fmla="*/ 637212 h 876300"/>
                <a:gd name="connsiteX71" fmla="*/ 336491 w 523875"/>
                <a:gd name="connsiteY71" fmla="*/ 645838 h 876300"/>
                <a:gd name="connsiteX72" fmla="*/ 338549 w 523875"/>
                <a:gd name="connsiteY72" fmla="*/ 650982 h 876300"/>
                <a:gd name="connsiteX73" fmla="*/ 344247 w 523875"/>
                <a:gd name="connsiteY73" fmla="*/ 651774 h 876300"/>
                <a:gd name="connsiteX74" fmla="*/ 344563 w 523875"/>
                <a:gd name="connsiteY74" fmla="*/ 667443 h 876300"/>
                <a:gd name="connsiteX75" fmla="*/ 336491 w 523875"/>
                <a:gd name="connsiteY75" fmla="*/ 683626 h 876300"/>
                <a:gd name="connsiteX76" fmla="*/ 337599 w 523875"/>
                <a:gd name="connsiteY76" fmla="*/ 696051 h 876300"/>
                <a:gd name="connsiteX77" fmla="*/ 345671 w 523875"/>
                <a:gd name="connsiteY77" fmla="*/ 713817 h 876300"/>
                <a:gd name="connsiteX78" fmla="*/ 353901 w 523875"/>
                <a:gd name="connsiteY78" fmla="*/ 727864 h 876300"/>
                <a:gd name="connsiteX79" fmla="*/ 376376 w 523875"/>
                <a:gd name="connsiteY79" fmla="*/ 752950 h 876300"/>
                <a:gd name="connsiteX80" fmla="*/ 382866 w 523875"/>
                <a:gd name="connsiteY80" fmla="*/ 762961 h 876300"/>
                <a:gd name="connsiteX81" fmla="*/ 385240 w 523875"/>
                <a:gd name="connsiteY81" fmla="*/ 774792 h 876300"/>
                <a:gd name="connsiteX82" fmla="*/ 387456 w 523875"/>
                <a:gd name="connsiteY82" fmla="*/ 783181 h 876300"/>
                <a:gd name="connsiteX83" fmla="*/ 404549 w 523875"/>
                <a:gd name="connsiteY83" fmla="*/ 799087 h 876300"/>
                <a:gd name="connsiteX84" fmla="*/ 411671 w 523875"/>
                <a:gd name="connsiteY84" fmla="*/ 807436 h 876300"/>
                <a:gd name="connsiteX85" fmla="*/ 414995 w 523875"/>
                <a:gd name="connsiteY85" fmla="*/ 814757 h 876300"/>
                <a:gd name="connsiteX86" fmla="*/ 423067 w 523875"/>
                <a:gd name="connsiteY86" fmla="*/ 829872 h 876300"/>
                <a:gd name="connsiteX87" fmla="*/ 429240 w 523875"/>
                <a:gd name="connsiteY87" fmla="*/ 843325 h 876300"/>
                <a:gd name="connsiteX88" fmla="*/ 436995 w 523875"/>
                <a:gd name="connsiteY88" fmla="*/ 853059 h 876300"/>
                <a:gd name="connsiteX89" fmla="*/ 437470 w 523875"/>
                <a:gd name="connsiteY89" fmla="*/ 858163 h 876300"/>
                <a:gd name="connsiteX90" fmla="*/ 431297 w 523875"/>
                <a:gd name="connsiteY90" fmla="*/ 884635 h 8763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Lst>
              <a:rect l="l" t="t" r="r" b="b"/>
              <a:pathLst>
                <a:path w="523875" h="876300">
                  <a:moveTo>
                    <a:pt x="431297" y="884635"/>
                  </a:moveTo>
                  <a:lnTo>
                    <a:pt x="431297" y="884635"/>
                  </a:lnTo>
                  <a:lnTo>
                    <a:pt x="313225" y="840634"/>
                  </a:lnTo>
                  <a:lnTo>
                    <a:pt x="312908" y="836321"/>
                  </a:lnTo>
                  <a:lnTo>
                    <a:pt x="315441" y="823383"/>
                  </a:lnTo>
                  <a:lnTo>
                    <a:pt x="315124" y="816616"/>
                  </a:lnTo>
                  <a:lnTo>
                    <a:pt x="308318" y="804469"/>
                  </a:lnTo>
                  <a:lnTo>
                    <a:pt x="300721" y="804469"/>
                  </a:lnTo>
                  <a:lnTo>
                    <a:pt x="286477" y="800710"/>
                  </a:lnTo>
                  <a:lnTo>
                    <a:pt x="269066" y="794497"/>
                  </a:lnTo>
                  <a:lnTo>
                    <a:pt x="253714" y="783695"/>
                  </a:lnTo>
                  <a:lnTo>
                    <a:pt x="249757" y="776969"/>
                  </a:lnTo>
                  <a:lnTo>
                    <a:pt x="245800" y="769134"/>
                  </a:lnTo>
                  <a:lnTo>
                    <a:pt x="236304" y="752159"/>
                  </a:lnTo>
                  <a:lnTo>
                    <a:pt x="229498" y="745947"/>
                  </a:lnTo>
                  <a:lnTo>
                    <a:pt x="218419" y="741080"/>
                  </a:lnTo>
                  <a:lnTo>
                    <a:pt x="213037" y="641525"/>
                  </a:lnTo>
                  <a:lnTo>
                    <a:pt x="209397" y="616716"/>
                  </a:lnTo>
                  <a:lnTo>
                    <a:pt x="208447" y="587039"/>
                  </a:lnTo>
                  <a:lnTo>
                    <a:pt x="207339" y="570856"/>
                  </a:lnTo>
                  <a:lnTo>
                    <a:pt x="195469" y="558985"/>
                  </a:lnTo>
                  <a:lnTo>
                    <a:pt x="188505" y="548460"/>
                  </a:lnTo>
                  <a:lnTo>
                    <a:pt x="184548" y="541179"/>
                  </a:lnTo>
                  <a:lnTo>
                    <a:pt x="185181" y="526064"/>
                  </a:lnTo>
                  <a:lnTo>
                    <a:pt x="186605" y="512650"/>
                  </a:lnTo>
                  <a:lnTo>
                    <a:pt x="186922" y="496665"/>
                  </a:lnTo>
                  <a:lnTo>
                    <a:pt x="184864" y="483963"/>
                  </a:lnTo>
                  <a:lnTo>
                    <a:pt x="185181" y="410880"/>
                  </a:lnTo>
                  <a:lnTo>
                    <a:pt x="88950" y="360668"/>
                  </a:lnTo>
                  <a:lnTo>
                    <a:pt x="76446" y="347214"/>
                  </a:lnTo>
                  <a:lnTo>
                    <a:pt x="75339" y="326401"/>
                  </a:lnTo>
                  <a:lnTo>
                    <a:pt x="8230" y="331308"/>
                  </a:lnTo>
                  <a:lnTo>
                    <a:pt x="4273" y="298110"/>
                  </a:lnTo>
                  <a:lnTo>
                    <a:pt x="0" y="245523"/>
                  </a:lnTo>
                  <a:lnTo>
                    <a:pt x="30072" y="211494"/>
                  </a:lnTo>
                  <a:lnTo>
                    <a:pt x="84993" y="124364"/>
                  </a:lnTo>
                  <a:lnTo>
                    <a:pt x="108893" y="101731"/>
                  </a:lnTo>
                  <a:lnTo>
                    <a:pt x="131051" y="84716"/>
                  </a:lnTo>
                  <a:lnTo>
                    <a:pt x="201641" y="44238"/>
                  </a:lnTo>
                  <a:lnTo>
                    <a:pt x="338232" y="0"/>
                  </a:lnTo>
                  <a:lnTo>
                    <a:pt x="352160" y="60738"/>
                  </a:lnTo>
                  <a:lnTo>
                    <a:pt x="361499" y="92828"/>
                  </a:lnTo>
                  <a:lnTo>
                    <a:pt x="361499" y="92828"/>
                  </a:lnTo>
                  <a:lnTo>
                    <a:pt x="368779" y="146206"/>
                  </a:lnTo>
                  <a:lnTo>
                    <a:pt x="377009" y="166307"/>
                  </a:lnTo>
                  <a:lnTo>
                    <a:pt x="351369" y="167256"/>
                  </a:lnTo>
                  <a:lnTo>
                    <a:pt x="365772" y="247145"/>
                  </a:lnTo>
                  <a:lnTo>
                    <a:pt x="371945" y="272984"/>
                  </a:lnTo>
                  <a:lnTo>
                    <a:pt x="376376" y="276861"/>
                  </a:lnTo>
                  <a:lnTo>
                    <a:pt x="377801" y="288218"/>
                  </a:lnTo>
                  <a:lnTo>
                    <a:pt x="382074" y="289563"/>
                  </a:lnTo>
                  <a:lnTo>
                    <a:pt x="401225" y="272588"/>
                  </a:lnTo>
                  <a:lnTo>
                    <a:pt x="404866" y="277336"/>
                  </a:lnTo>
                  <a:lnTo>
                    <a:pt x="411671" y="308635"/>
                  </a:lnTo>
                  <a:lnTo>
                    <a:pt x="494924" y="281649"/>
                  </a:lnTo>
                  <a:lnTo>
                    <a:pt x="498406" y="309703"/>
                  </a:lnTo>
                  <a:lnTo>
                    <a:pt x="494924" y="384448"/>
                  </a:lnTo>
                  <a:lnTo>
                    <a:pt x="482104" y="434898"/>
                  </a:lnTo>
                  <a:lnTo>
                    <a:pt x="531643" y="446452"/>
                  </a:lnTo>
                  <a:lnTo>
                    <a:pt x="485586" y="535244"/>
                  </a:lnTo>
                  <a:lnTo>
                    <a:pt x="447758" y="516093"/>
                  </a:lnTo>
                  <a:lnTo>
                    <a:pt x="427499" y="578413"/>
                  </a:lnTo>
                  <a:lnTo>
                    <a:pt x="420377" y="591352"/>
                  </a:lnTo>
                  <a:lnTo>
                    <a:pt x="415945" y="600770"/>
                  </a:lnTo>
                  <a:lnTo>
                    <a:pt x="368463" y="601324"/>
                  </a:lnTo>
                  <a:lnTo>
                    <a:pt x="368463" y="607299"/>
                  </a:lnTo>
                  <a:lnTo>
                    <a:pt x="356750" y="618615"/>
                  </a:lnTo>
                  <a:lnTo>
                    <a:pt x="340290" y="620237"/>
                  </a:lnTo>
                  <a:lnTo>
                    <a:pt x="336491" y="625619"/>
                  </a:lnTo>
                  <a:lnTo>
                    <a:pt x="330793" y="627795"/>
                  </a:lnTo>
                  <a:lnTo>
                    <a:pt x="332534" y="637212"/>
                  </a:lnTo>
                  <a:lnTo>
                    <a:pt x="336491" y="645838"/>
                  </a:lnTo>
                  <a:lnTo>
                    <a:pt x="338549" y="650982"/>
                  </a:lnTo>
                  <a:lnTo>
                    <a:pt x="344247" y="651774"/>
                  </a:lnTo>
                  <a:lnTo>
                    <a:pt x="344563" y="667443"/>
                  </a:lnTo>
                  <a:lnTo>
                    <a:pt x="336491" y="683626"/>
                  </a:lnTo>
                  <a:lnTo>
                    <a:pt x="337599" y="696051"/>
                  </a:lnTo>
                  <a:lnTo>
                    <a:pt x="345671" y="713817"/>
                  </a:lnTo>
                  <a:lnTo>
                    <a:pt x="353901" y="727864"/>
                  </a:lnTo>
                  <a:lnTo>
                    <a:pt x="376376" y="752950"/>
                  </a:lnTo>
                  <a:lnTo>
                    <a:pt x="382866" y="762961"/>
                  </a:lnTo>
                  <a:lnTo>
                    <a:pt x="385240" y="774792"/>
                  </a:lnTo>
                  <a:lnTo>
                    <a:pt x="387456" y="783181"/>
                  </a:lnTo>
                  <a:lnTo>
                    <a:pt x="404549" y="799087"/>
                  </a:lnTo>
                  <a:lnTo>
                    <a:pt x="411671" y="807436"/>
                  </a:lnTo>
                  <a:lnTo>
                    <a:pt x="414995" y="814757"/>
                  </a:lnTo>
                  <a:lnTo>
                    <a:pt x="423067" y="829872"/>
                  </a:lnTo>
                  <a:lnTo>
                    <a:pt x="429240" y="843325"/>
                  </a:lnTo>
                  <a:lnTo>
                    <a:pt x="436995" y="853059"/>
                  </a:lnTo>
                  <a:lnTo>
                    <a:pt x="437470" y="858163"/>
                  </a:lnTo>
                  <a:lnTo>
                    <a:pt x="431297" y="884635"/>
                  </a:lnTo>
                </a:path>
              </a:pathLst>
            </a:custGeom>
            <a:solidFill>
              <a:srgbClr val="FFFFFF"/>
            </a:solidFill>
            <a:ln w="5132" cap="flat">
              <a:solidFill>
                <a:srgbClr val="030000"/>
              </a:solidFill>
              <a:prstDash val="solid"/>
              <a:miter/>
            </a:ln>
          </xdr:spPr>
          <xdr:txBody>
            <a:bodyPr rtlCol="0" anchor="ctr"/>
            <a:lstStyle/>
            <a:p>
              <a:endParaRPr lang="en-US"/>
            </a:p>
          </xdr:txBody>
        </xdr:sp>
        <xdr:sp macro="" textlink="">
          <xdr:nvSpPr>
            <xdr:cNvPr id="116" name="19_1">
              <a:extLst>
                <a:ext uri="{FF2B5EF4-FFF2-40B4-BE49-F238E27FC236}">
                  <a16:creationId xmlns:a16="http://schemas.microsoft.com/office/drawing/2014/main" id="{A7394EA7-63B9-9E44-85EB-0B22D6831DE5}"/>
                </a:ext>
              </a:extLst>
            </xdr:cNvPr>
            <xdr:cNvSpPr/>
          </xdr:nvSpPr>
          <xdr:spPr>
            <a:xfrm>
              <a:off x="5743574" y="4591901"/>
              <a:ext cx="304800" cy="359833"/>
            </a:xfrm>
            <a:custGeom>
              <a:avLst/>
              <a:gdLst>
                <a:gd name="connsiteX0" fmla="*/ 8547 w 304800"/>
                <a:gd name="connsiteY0" fmla="*/ 345632 h 342900"/>
                <a:gd name="connsiteX1" fmla="*/ 8547 w 304800"/>
                <a:gd name="connsiteY1" fmla="*/ 345632 h 342900"/>
                <a:gd name="connsiteX2" fmla="*/ 10288 w 304800"/>
                <a:gd name="connsiteY2" fmla="*/ 324581 h 342900"/>
                <a:gd name="connsiteX3" fmla="*/ 9022 w 304800"/>
                <a:gd name="connsiteY3" fmla="*/ 317023 h 342900"/>
                <a:gd name="connsiteX4" fmla="*/ 2216 w 304800"/>
                <a:gd name="connsiteY4" fmla="*/ 307844 h 342900"/>
                <a:gd name="connsiteX5" fmla="*/ 1108 w 304800"/>
                <a:gd name="connsiteY5" fmla="*/ 300286 h 342900"/>
                <a:gd name="connsiteX6" fmla="*/ 4590 w 304800"/>
                <a:gd name="connsiteY6" fmla="*/ 278167 h 342900"/>
                <a:gd name="connsiteX7" fmla="*/ 12978 w 304800"/>
                <a:gd name="connsiteY7" fmla="*/ 268987 h 342900"/>
                <a:gd name="connsiteX8" fmla="*/ 12504 w 304800"/>
                <a:gd name="connsiteY8" fmla="*/ 265228 h 342900"/>
                <a:gd name="connsiteX9" fmla="*/ 0 w 304800"/>
                <a:gd name="connsiteY9" fmla="*/ 264160 h 342900"/>
                <a:gd name="connsiteX10" fmla="*/ 475 w 304800"/>
                <a:gd name="connsiteY10" fmla="*/ 185893 h 342900"/>
                <a:gd name="connsiteX11" fmla="*/ 26115 w 304800"/>
                <a:gd name="connsiteY11" fmla="*/ 186447 h 342900"/>
                <a:gd name="connsiteX12" fmla="*/ 76288 w 304800"/>
                <a:gd name="connsiteY12" fmla="*/ 186962 h 342900"/>
                <a:gd name="connsiteX13" fmla="*/ 92749 w 304800"/>
                <a:gd name="connsiteY13" fmla="*/ 181026 h 342900"/>
                <a:gd name="connsiteX14" fmla="*/ 93857 w 304800"/>
                <a:gd name="connsiteY14" fmla="*/ 168641 h 342900"/>
                <a:gd name="connsiteX15" fmla="*/ 89900 w 304800"/>
                <a:gd name="connsiteY15" fmla="*/ 156771 h 342900"/>
                <a:gd name="connsiteX16" fmla="*/ 85310 w 304800"/>
                <a:gd name="connsiteY16" fmla="*/ 122227 h 342900"/>
                <a:gd name="connsiteX17" fmla="*/ 83094 w 304800"/>
                <a:gd name="connsiteY17" fmla="*/ 97378 h 342900"/>
                <a:gd name="connsiteX18" fmla="*/ 84202 w 304800"/>
                <a:gd name="connsiteY18" fmla="*/ 90375 h 342900"/>
                <a:gd name="connsiteX19" fmla="*/ 84677 w 304800"/>
                <a:gd name="connsiteY19" fmla="*/ 77990 h 342900"/>
                <a:gd name="connsiteX20" fmla="*/ 89267 w 304800"/>
                <a:gd name="connsiteY20" fmla="*/ 64497 h 342900"/>
                <a:gd name="connsiteX21" fmla="*/ 97339 w 304800"/>
                <a:gd name="connsiteY21" fmla="*/ 46691 h 342900"/>
                <a:gd name="connsiteX22" fmla="*/ 98447 w 304800"/>
                <a:gd name="connsiteY22" fmla="*/ 36443 h 342900"/>
                <a:gd name="connsiteX23" fmla="*/ 99238 w 304800"/>
                <a:gd name="connsiteY23" fmla="*/ 0 h 342900"/>
                <a:gd name="connsiteX24" fmla="*/ 110317 w 304800"/>
                <a:gd name="connsiteY24" fmla="*/ 4867 h 342900"/>
                <a:gd name="connsiteX25" fmla="*/ 117123 w 304800"/>
                <a:gd name="connsiteY25" fmla="*/ 11079 h 342900"/>
                <a:gd name="connsiteX26" fmla="*/ 126619 w 304800"/>
                <a:gd name="connsiteY26" fmla="*/ 28054 h 342900"/>
                <a:gd name="connsiteX27" fmla="*/ 130576 w 304800"/>
                <a:gd name="connsiteY27" fmla="*/ 35889 h 342900"/>
                <a:gd name="connsiteX28" fmla="*/ 134533 w 304800"/>
                <a:gd name="connsiteY28" fmla="*/ 42615 h 342900"/>
                <a:gd name="connsiteX29" fmla="*/ 149886 w 304800"/>
                <a:gd name="connsiteY29" fmla="*/ 53418 h 342900"/>
                <a:gd name="connsiteX30" fmla="*/ 167296 w 304800"/>
                <a:gd name="connsiteY30" fmla="*/ 59630 h 342900"/>
                <a:gd name="connsiteX31" fmla="*/ 181541 w 304800"/>
                <a:gd name="connsiteY31" fmla="*/ 63389 h 342900"/>
                <a:gd name="connsiteX32" fmla="*/ 189138 w 304800"/>
                <a:gd name="connsiteY32" fmla="*/ 63389 h 342900"/>
                <a:gd name="connsiteX33" fmla="*/ 195944 w 304800"/>
                <a:gd name="connsiteY33" fmla="*/ 75536 h 342900"/>
                <a:gd name="connsiteX34" fmla="*/ 196260 w 304800"/>
                <a:gd name="connsiteY34" fmla="*/ 82303 h 342900"/>
                <a:gd name="connsiteX35" fmla="*/ 193728 w 304800"/>
                <a:gd name="connsiteY35" fmla="*/ 95242 h 342900"/>
                <a:gd name="connsiteX36" fmla="*/ 194044 w 304800"/>
                <a:gd name="connsiteY36" fmla="*/ 99555 h 342900"/>
                <a:gd name="connsiteX37" fmla="*/ 312117 w 304800"/>
                <a:gd name="connsiteY37" fmla="*/ 143555 h 342900"/>
                <a:gd name="connsiteX38" fmla="*/ 301196 w 304800"/>
                <a:gd name="connsiteY38" fmla="*/ 168087 h 342900"/>
                <a:gd name="connsiteX39" fmla="*/ 290433 w 304800"/>
                <a:gd name="connsiteY39" fmla="*/ 162666 h 342900"/>
                <a:gd name="connsiteX40" fmla="*/ 283628 w 304800"/>
                <a:gd name="connsiteY40" fmla="*/ 175368 h 342900"/>
                <a:gd name="connsiteX41" fmla="*/ 262261 w 304800"/>
                <a:gd name="connsiteY41" fmla="*/ 167019 h 342900"/>
                <a:gd name="connsiteX42" fmla="*/ 251181 w 304800"/>
                <a:gd name="connsiteY42" fmla="*/ 193728 h 342900"/>
                <a:gd name="connsiteX43" fmla="*/ 233613 w 304800"/>
                <a:gd name="connsiteY43" fmla="*/ 198318 h 342900"/>
                <a:gd name="connsiteX44" fmla="*/ 220476 w 304800"/>
                <a:gd name="connsiteY44" fmla="*/ 200731 h 342900"/>
                <a:gd name="connsiteX45" fmla="*/ 225541 w 304800"/>
                <a:gd name="connsiteY45" fmla="*/ 227994 h 342900"/>
                <a:gd name="connsiteX46" fmla="*/ 237570 w 304800"/>
                <a:gd name="connsiteY46" fmla="*/ 245523 h 342900"/>
                <a:gd name="connsiteX47" fmla="*/ 256088 w 304800"/>
                <a:gd name="connsiteY47" fmla="*/ 264951 h 342900"/>
                <a:gd name="connsiteX48" fmla="*/ 261153 w 304800"/>
                <a:gd name="connsiteY48" fmla="*/ 293836 h 342900"/>
                <a:gd name="connsiteX49" fmla="*/ 233613 w 304800"/>
                <a:gd name="connsiteY49" fmla="*/ 297041 h 342900"/>
                <a:gd name="connsiteX50" fmla="*/ 173469 w 304800"/>
                <a:gd name="connsiteY50" fmla="*/ 297595 h 342900"/>
                <a:gd name="connsiteX51" fmla="*/ 109209 w 304800"/>
                <a:gd name="connsiteY51" fmla="*/ 306775 h 342900"/>
                <a:gd name="connsiteX52" fmla="*/ 85626 w 304800"/>
                <a:gd name="connsiteY52" fmla="*/ 314570 h 342900"/>
                <a:gd name="connsiteX53" fmla="*/ 25799 w 304800"/>
                <a:gd name="connsiteY53" fmla="*/ 340765 h 342900"/>
                <a:gd name="connsiteX54" fmla="*/ 16461 w 304800"/>
                <a:gd name="connsiteY54" fmla="*/ 344009 h 342900"/>
                <a:gd name="connsiteX55" fmla="*/ 8547 w 304800"/>
                <a:gd name="connsiteY55" fmla="*/ 345632 h 3429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Lst>
              <a:rect l="l" t="t" r="r" b="b"/>
              <a:pathLst>
                <a:path w="304800" h="342900">
                  <a:moveTo>
                    <a:pt x="8547" y="345632"/>
                  </a:moveTo>
                  <a:lnTo>
                    <a:pt x="8547" y="345632"/>
                  </a:lnTo>
                  <a:lnTo>
                    <a:pt x="10288" y="324581"/>
                  </a:lnTo>
                  <a:lnTo>
                    <a:pt x="9022" y="317023"/>
                  </a:lnTo>
                  <a:lnTo>
                    <a:pt x="2216" y="307844"/>
                  </a:lnTo>
                  <a:lnTo>
                    <a:pt x="1108" y="300286"/>
                  </a:lnTo>
                  <a:lnTo>
                    <a:pt x="4590" y="278167"/>
                  </a:lnTo>
                  <a:lnTo>
                    <a:pt x="12978" y="268987"/>
                  </a:lnTo>
                  <a:lnTo>
                    <a:pt x="12504" y="265228"/>
                  </a:lnTo>
                  <a:lnTo>
                    <a:pt x="0" y="264160"/>
                  </a:lnTo>
                  <a:lnTo>
                    <a:pt x="475" y="185893"/>
                  </a:lnTo>
                  <a:lnTo>
                    <a:pt x="26115" y="186447"/>
                  </a:lnTo>
                  <a:lnTo>
                    <a:pt x="76288" y="186962"/>
                  </a:lnTo>
                  <a:lnTo>
                    <a:pt x="92749" y="181026"/>
                  </a:lnTo>
                  <a:lnTo>
                    <a:pt x="93857" y="168641"/>
                  </a:lnTo>
                  <a:lnTo>
                    <a:pt x="89900" y="156771"/>
                  </a:lnTo>
                  <a:lnTo>
                    <a:pt x="85310" y="122227"/>
                  </a:lnTo>
                  <a:lnTo>
                    <a:pt x="83094" y="97378"/>
                  </a:lnTo>
                  <a:lnTo>
                    <a:pt x="84202" y="90375"/>
                  </a:lnTo>
                  <a:lnTo>
                    <a:pt x="84677" y="77990"/>
                  </a:lnTo>
                  <a:lnTo>
                    <a:pt x="89267" y="64497"/>
                  </a:lnTo>
                  <a:lnTo>
                    <a:pt x="97339" y="46691"/>
                  </a:lnTo>
                  <a:lnTo>
                    <a:pt x="98447" y="36443"/>
                  </a:lnTo>
                  <a:lnTo>
                    <a:pt x="99238" y="0"/>
                  </a:lnTo>
                  <a:lnTo>
                    <a:pt x="110317" y="4867"/>
                  </a:lnTo>
                  <a:lnTo>
                    <a:pt x="117123" y="11079"/>
                  </a:lnTo>
                  <a:lnTo>
                    <a:pt x="126619" y="28054"/>
                  </a:lnTo>
                  <a:lnTo>
                    <a:pt x="130576" y="35889"/>
                  </a:lnTo>
                  <a:lnTo>
                    <a:pt x="134533" y="42615"/>
                  </a:lnTo>
                  <a:lnTo>
                    <a:pt x="149886" y="53418"/>
                  </a:lnTo>
                  <a:lnTo>
                    <a:pt x="167296" y="59630"/>
                  </a:lnTo>
                  <a:lnTo>
                    <a:pt x="181541" y="63389"/>
                  </a:lnTo>
                  <a:lnTo>
                    <a:pt x="189138" y="63389"/>
                  </a:lnTo>
                  <a:lnTo>
                    <a:pt x="195944" y="75536"/>
                  </a:lnTo>
                  <a:lnTo>
                    <a:pt x="196260" y="82303"/>
                  </a:lnTo>
                  <a:lnTo>
                    <a:pt x="193728" y="95242"/>
                  </a:lnTo>
                  <a:lnTo>
                    <a:pt x="194044" y="99555"/>
                  </a:lnTo>
                  <a:lnTo>
                    <a:pt x="312117" y="143555"/>
                  </a:lnTo>
                  <a:lnTo>
                    <a:pt x="301196" y="168087"/>
                  </a:lnTo>
                  <a:lnTo>
                    <a:pt x="290433" y="162666"/>
                  </a:lnTo>
                  <a:lnTo>
                    <a:pt x="283628" y="175368"/>
                  </a:lnTo>
                  <a:lnTo>
                    <a:pt x="262261" y="167019"/>
                  </a:lnTo>
                  <a:lnTo>
                    <a:pt x="251181" y="193728"/>
                  </a:lnTo>
                  <a:lnTo>
                    <a:pt x="233613" y="198318"/>
                  </a:lnTo>
                  <a:lnTo>
                    <a:pt x="220476" y="200731"/>
                  </a:lnTo>
                  <a:lnTo>
                    <a:pt x="225541" y="227994"/>
                  </a:lnTo>
                  <a:lnTo>
                    <a:pt x="237570" y="245523"/>
                  </a:lnTo>
                  <a:lnTo>
                    <a:pt x="256088" y="264951"/>
                  </a:lnTo>
                  <a:lnTo>
                    <a:pt x="261153" y="293836"/>
                  </a:lnTo>
                  <a:lnTo>
                    <a:pt x="233613" y="297041"/>
                  </a:lnTo>
                  <a:lnTo>
                    <a:pt x="173469" y="297595"/>
                  </a:lnTo>
                  <a:lnTo>
                    <a:pt x="109209" y="306775"/>
                  </a:lnTo>
                  <a:lnTo>
                    <a:pt x="85626" y="314570"/>
                  </a:lnTo>
                  <a:lnTo>
                    <a:pt x="25799" y="340765"/>
                  </a:lnTo>
                  <a:lnTo>
                    <a:pt x="16461" y="344009"/>
                  </a:lnTo>
                  <a:lnTo>
                    <a:pt x="8547" y="345632"/>
                  </a:lnTo>
                </a:path>
              </a:pathLst>
            </a:custGeom>
            <a:solidFill>
              <a:srgbClr val="FFFFFF"/>
            </a:solidFill>
            <a:ln w="5132" cap="flat">
              <a:solidFill>
                <a:srgbClr val="030000"/>
              </a:solidFill>
              <a:prstDash val="solid"/>
              <a:miter/>
            </a:ln>
          </xdr:spPr>
          <xdr:txBody>
            <a:bodyPr rtlCol="0" anchor="ctr"/>
            <a:lstStyle/>
            <a:p>
              <a:endParaRPr lang="en-US"/>
            </a:p>
          </xdr:txBody>
        </xdr:sp>
        <xdr:sp macro="" textlink="">
          <xdr:nvSpPr>
            <xdr:cNvPr id="117" name="18_1">
              <a:extLst>
                <a:ext uri="{FF2B5EF4-FFF2-40B4-BE49-F238E27FC236}">
                  <a16:creationId xmlns:a16="http://schemas.microsoft.com/office/drawing/2014/main" id="{F2DBEFC8-F876-384E-B74E-6975F4D11855}"/>
                </a:ext>
              </a:extLst>
            </xdr:cNvPr>
            <xdr:cNvSpPr/>
          </xdr:nvSpPr>
          <xdr:spPr>
            <a:xfrm>
              <a:off x="5553130" y="4587865"/>
              <a:ext cx="281517" cy="369358"/>
            </a:xfrm>
            <a:custGeom>
              <a:avLst/>
              <a:gdLst>
                <a:gd name="connsiteX0" fmla="*/ 22000 w 285750"/>
                <a:gd name="connsiteY0" fmla="*/ 334038 h 352425"/>
                <a:gd name="connsiteX1" fmla="*/ 22000 w 285750"/>
                <a:gd name="connsiteY1" fmla="*/ 334038 h 352425"/>
                <a:gd name="connsiteX2" fmla="*/ 23425 w 285750"/>
                <a:gd name="connsiteY2" fmla="*/ 325372 h 352425"/>
                <a:gd name="connsiteX3" fmla="*/ 38144 w 285750"/>
                <a:gd name="connsiteY3" fmla="*/ 241724 h 352425"/>
                <a:gd name="connsiteX4" fmla="*/ 24533 w 285750"/>
                <a:gd name="connsiteY4" fmla="*/ 194242 h 352425"/>
                <a:gd name="connsiteX5" fmla="*/ 14245 w 285750"/>
                <a:gd name="connsiteY5" fmla="*/ 184548 h 352425"/>
                <a:gd name="connsiteX6" fmla="*/ 10763 w 285750"/>
                <a:gd name="connsiteY6" fmla="*/ 174260 h 352425"/>
                <a:gd name="connsiteX7" fmla="*/ 6331 w 285750"/>
                <a:gd name="connsiteY7" fmla="*/ 69047 h 352425"/>
                <a:gd name="connsiteX8" fmla="*/ 6331 w 285750"/>
                <a:gd name="connsiteY8" fmla="*/ 39371 h 352425"/>
                <a:gd name="connsiteX9" fmla="*/ 3957 w 285750"/>
                <a:gd name="connsiteY9" fmla="*/ 26946 h 352425"/>
                <a:gd name="connsiteX10" fmla="*/ 0 w 285750"/>
                <a:gd name="connsiteY10" fmla="*/ 14561 h 352425"/>
                <a:gd name="connsiteX11" fmla="*/ 19943 w 285750"/>
                <a:gd name="connsiteY11" fmla="*/ 11871 h 352425"/>
                <a:gd name="connsiteX12" fmla="*/ 43209 w 285750"/>
                <a:gd name="connsiteY12" fmla="*/ 10248 h 352425"/>
                <a:gd name="connsiteX13" fmla="*/ 52389 w 285750"/>
                <a:gd name="connsiteY13" fmla="*/ 8072 h 352425"/>
                <a:gd name="connsiteX14" fmla="*/ 71698 w 285750"/>
                <a:gd name="connsiteY14" fmla="*/ 2691 h 352425"/>
                <a:gd name="connsiteX15" fmla="*/ 87684 w 285750"/>
                <a:gd name="connsiteY15" fmla="*/ 0 h 352425"/>
                <a:gd name="connsiteX16" fmla="*/ 112058 w 285750"/>
                <a:gd name="connsiteY16" fmla="*/ 3245 h 352425"/>
                <a:gd name="connsiteX17" fmla="*/ 113324 w 285750"/>
                <a:gd name="connsiteY17" fmla="*/ 38302 h 352425"/>
                <a:gd name="connsiteX18" fmla="*/ 117756 w 285750"/>
                <a:gd name="connsiteY18" fmla="*/ 62597 h 352425"/>
                <a:gd name="connsiteX19" fmla="*/ 116648 w 285750"/>
                <a:gd name="connsiteY19" fmla="*/ 71223 h 352425"/>
                <a:gd name="connsiteX20" fmla="*/ 139440 w 285750"/>
                <a:gd name="connsiteY20" fmla="*/ 71738 h 352425"/>
                <a:gd name="connsiteX21" fmla="*/ 149728 w 285750"/>
                <a:gd name="connsiteY21" fmla="*/ 67425 h 352425"/>
                <a:gd name="connsiteX22" fmla="*/ 170145 w 285750"/>
                <a:gd name="connsiteY22" fmla="*/ 68533 h 352425"/>
                <a:gd name="connsiteX23" fmla="*/ 204965 w 285750"/>
                <a:gd name="connsiteY23" fmla="*/ 70155 h 352425"/>
                <a:gd name="connsiteX24" fmla="*/ 240735 w 285750"/>
                <a:gd name="connsiteY24" fmla="*/ 72846 h 352425"/>
                <a:gd name="connsiteX25" fmla="*/ 255455 w 285750"/>
                <a:gd name="connsiteY25" fmla="*/ 74982 h 352425"/>
                <a:gd name="connsiteX26" fmla="*/ 269699 w 285750"/>
                <a:gd name="connsiteY26" fmla="*/ 74982 h 352425"/>
                <a:gd name="connsiteX27" fmla="*/ 279987 w 285750"/>
                <a:gd name="connsiteY27" fmla="*/ 72846 h 352425"/>
                <a:gd name="connsiteX28" fmla="*/ 283944 w 285750"/>
                <a:gd name="connsiteY28" fmla="*/ 68533 h 352425"/>
                <a:gd name="connsiteX29" fmla="*/ 279354 w 285750"/>
                <a:gd name="connsiteY29" fmla="*/ 82026 h 352425"/>
                <a:gd name="connsiteX30" fmla="*/ 278879 w 285750"/>
                <a:gd name="connsiteY30" fmla="*/ 94411 h 352425"/>
                <a:gd name="connsiteX31" fmla="*/ 277771 w 285750"/>
                <a:gd name="connsiteY31" fmla="*/ 101414 h 352425"/>
                <a:gd name="connsiteX32" fmla="*/ 279987 w 285750"/>
                <a:gd name="connsiteY32" fmla="*/ 126263 h 352425"/>
                <a:gd name="connsiteX33" fmla="*/ 284577 w 285750"/>
                <a:gd name="connsiteY33" fmla="*/ 160807 h 352425"/>
                <a:gd name="connsiteX34" fmla="*/ 288534 w 285750"/>
                <a:gd name="connsiteY34" fmla="*/ 172677 h 352425"/>
                <a:gd name="connsiteX35" fmla="*/ 287426 w 285750"/>
                <a:gd name="connsiteY35" fmla="*/ 185062 h 352425"/>
                <a:gd name="connsiteX36" fmla="*/ 270966 w 285750"/>
                <a:gd name="connsiteY36" fmla="*/ 190998 h 352425"/>
                <a:gd name="connsiteX37" fmla="*/ 220793 w 285750"/>
                <a:gd name="connsiteY37" fmla="*/ 190483 h 352425"/>
                <a:gd name="connsiteX38" fmla="*/ 195152 w 285750"/>
                <a:gd name="connsiteY38" fmla="*/ 189929 h 352425"/>
                <a:gd name="connsiteX39" fmla="*/ 194677 w 285750"/>
                <a:gd name="connsiteY39" fmla="*/ 268196 h 352425"/>
                <a:gd name="connsiteX40" fmla="*/ 207181 w 285750"/>
                <a:gd name="connsiteY40" fmla="*/ 269264 h 352425"/>
                <a:gd name="connsiteX41" fmla="*/ 207656 w 285750"/>
                <a:gd name="connsiteY41" fmla="*/ 273023 h 352425"/>
                <a:gd name="connsiteX42" fmla="*/ 199267 w 285750"/>
                <a:gd name="connsiteY42" fmla="*/ 282203 h 352425"/>
                <a:gd name="connsiteX43" fmla="*/ 195785 w 285750"/>
                <a:gd name="connsiteY43" fmla="*/ 304322 h 352425"/>
                <a:gd name="connsiteX44" fmla="*/ 196893 w 285750"/>
                <a:gd name="connsiteY44" fmla="*/ 311880 h 352425"/>
                <a:gd name="connsiteX45" fmla="*/ 203699 w 285750"/>
                <a:gd name="connsiteY45" fmla="*/ 321059 h 352425"/>
                <a:gd name="connsiteX46" fmla="*/ 204965 w 285750"/>
                <a:gd name="connsiteY46" fmla="*/ 328617 h 352425"/>
                <a:gd name="connsiteX47" fmla="*/ 203224 w 285750"/>
                <a:gd name="connsiteY47" fmla="*/ 349668 h 352425"/>
                <a:gd name="connsiteX48" fmla="*/ 172361 w 285750"/>
                <a:gd name="connsiteY48" fmla="*/ 353980 h 352425"/>
                <a:gd name="connsiteX49" fmla="*/ 131526 w 285750"/>
                <a:gd name="connsiteY49" fmla="*/ 350736 h 352425"/>
                <a:gd name="connsiteX50" fmla="*/ 109368 w 285750"/>
                <a:gd name="connsiteY50" fmla="*/ 347491 h 352425"/>
                <a:gd name="connsiteX51" fmla="*/ 80878 w 285750"/>
                <a:gd name="connsiteY51" fmla="*/ 339934 h 352425"/>
                <a:gd name="connsiteX52" fmla="*/ 22000 w 285750"/>
                <a:gd name="connsiteY52" fmla="*/ 334038 h 3524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Lst>
              <a:rect l="l" t="t" r="r" b="b"/>
              <a:pathLst>
                <a:path w="285750" h="352425">
                  <a:moveTo>
                    <a:pt x="22000" y="334038"/>
                  </a:moveTo>
                  <a:lnTo>
                    <a:pt x="22000" y="334038"/>
                  </a:lnTo>
                  <a:lnTo>
                    <a:pt x="23425" y="325372"/>
                  </a:lnTo>
                  <a:lnTo>
                    <a:pt x="38144" y="241724"/>
                  </a:lnTo>
                  <a:lnTo>
                    <a:pt x="24533" y="194242"/>
                  </a:lnTo>
                  <a:lnTo>
                    <a:pt x="14245" y="184548"/>
                  </a:lnTo>
                  <a:lnTo>
                    <a:pt x="10763" y="174260"/>
                  </a:lnTo>
                  <a:lnTo>
                    <a:pt x="6331" y="69047"/>
                  </a:lnTo>
                  <a:lnTo>
                    <a:pt x="6331" y="39371"/>
                  </a:lnTo>
                  <a:lnTo>
                    <a:pt x="3957" y="26946"/>
                  </a:lnTo>
                  <a:lnTo>
                    <a:pt x="0" y="14561"/>
                  </a:lnTo>
                  <a:lnTo>
                    <a:pt x="19943" y="11871"/>
                  </a:lnTo>
                  <a:lnTo>
                    <a:pt x="43209" y="10248"/>
                  </a:lnTo>
                  <a:lnTo>
                    <a:pt x="52389" y="8072"/>
                  </a:lnTo>
                  <a:lnTo>
                    <a:pt x="71698" y="2691"/>
                  </a:lnTo>
                  <a:lnTo>
                    <a:pt x="87684" y="0"/>
                  </a:lnTo>
                  <a:lnTo>
                    <a:pt x="112058" y="3245"/>
                  </a:lnTo>
                  <a:lnTo>
                    <a:pt x="113324" y="38302"/>
                  </a:lnTo>
                  <a:lnTo>
                    <a:pt x="117756" y="62597"/>
                  </a:lnTo>
                  <a:lnTo>
                    <a:pt x="116648" y="71223"/>
                  </a:lnTo>
                  <a:lnTo>
                    <a:pt x="139440" y="71738"/>
                  </a:lnTo>
                  <a:lnTo>
                    <a:pt x="149728" y="67425"/>
                  </a:lnTo>
                  <a:lnTo>
                    <a:pt x="170145" y="68533"/>
                  </a:lnTo>
                  <a:lnTo>
                    <a:pt x="204965" y="70155"/>
                  </a:lnTo>
                  <a:lnTo>
                    <a:pt x="240735" y="72846"/>
                  </a:lnTo>
                  <a:lnTo>
                    <a:pt x="255455" y="74982"/>
                  </a:lnTo>
                  <a:lnTo>
                    <a:pt x="269699" y="74982"/>
                  </a:lnTo>
                  <a:lnTo>
                    <a:pt x="279987" y="72846"/>
                  </a:lnTo>
                  <a:lnTo>
                    <a:pt x="283944" y="68533"/>
                  </a:lnTo>
                  <a:lnTo>
                    <a:pt x="279354" y="82026"/>
                  </a:lnTo>
                  <a:lnTo>
                    <a:pt x="278879" y="94411"/>
                  </a:lnTo>
                  <a:lnTo>
                    <a:pt x="277771" y="101414"/>
                  </a:lnTo>
                  <a:lnTo>
                    <a:pt x="279987" y="126263"/>
                  </a:lnTo>
                  <a:lnTo>
                    <a:pt x="284577" y="160807"/>
                  </a:lnTo>
                  <a:lnTo>
                    <a:pt x="288534" y="172677"/>
                  </a:lnTo>
                  <a:lnTo>
                    <a:pt x="287426" y="185062"/>
                  </a:lnTo>
                  <a:lnTo>
                    <a:pt x="270966" y="190998"/>
                  </a:lnTo>
                  <a:lnTo>
                    <a:pt x="220793" y="190483"/>
                  </a:lnTo>
                  <a:lnTo>
                    <a:pt x="195152" y="189929"/>
                  </a:lnTo>
                  <a:lnTo>
                    <a:pt x="194677" y="268196"/>
                  </a:lnTo>
                  <a:lnTo>
                    <a:pt x="207181" y="269264"/>
                  </a:lnTo>
                  <a:lnTo>
                    <a:pt x="207656" y="273023"/>
                  </a:lnTo>
                  <a:lnTo>
                    <a:pt x="199267" y="282203"/>
                  </a:lnTo>
                  <a:lnTo>
                    <a:pt x="195785" y="304322"/>
                  </a:lnTo>
                  <a:lnTo>
                    <a:pt x="196893" y="311880"/>
                  </a:lnTo>
                  <a:lnTo>
                    <a:pt x="203699" y="321059"/>
                  </a:lnTo>
                  <a:lnTo>
                    <a:pt x="204965" y="328617"/>
                  </a:lnTo>
                  <a:lnTo>
                    <a:pt x="203224" y="349668"/>
                  </a:lnTo>
                  <a:lnTo>
                    <a:pt x="172361" y="353980"/>
                  </a:lnTo>
                  <a:lnTo>
                    <a:pt x="131526" y="350736"/>
                  </a:lnTo>
                  <a:lnTo>
                    <a:pt x="109368" y="347491"/>
                  </a:lnTo>
                  <a:lnTo>
                    <a:pt x="80878" y="339934"/>
                  </a:lnTo>
                  <a:lnTo>
                    <a:pt x="22000" y="334038"/>
                  </a:lnTo>
                </a:path>
              </a:pathLst>
            </a:custGeom>
            <a:solidFill>
              <a:srgbClr val="FFFFFF"/>
            </a:solidFill>
            <a:ln w="5132" cap="flat">
              <a:solidFill>
                <a:srgbClr val="030000"/>
              </a:solidFill>
              <a:prstDash val="solid"/>
              <a:miter/>
            </a:ln>
          </xdr:spPr>
          <xdr:txBody>
            <a:bodyPr rtlCol="0" anchor="ctr"/>
            <a:lstStyle/>
            <a:p>
              <a:endParaRPr lang="en-US"/>
            </a:p>
          </xdr:txBody>
        </xdr:sp>
        <xdr:sp macro="" textlink="">
          <xdr:nvSpPr>
            <xdr:cNvPr id="118" name="17_1">
              <a:extLst>
                <a:ext uri="{FF2B5EF4-FFF2-40B4-BE49-F238E27FC236}">
                  <a16:creationId xmlns:a16="http://schemas.microsoft.com/office/drawing/2014/main" id="{C21D9161-FA2F-094A-B3EF-75ECEEE7199D}"/>
                </a:ext>
              </a:extLst>
            </xdr:cNvPr>
            <xdr:cNvSpPr/>
          </xdr:nvSpPr>
          <xdr:spPr>
            <a:xfrm>
              <a:off x="5515619" y="4410480"/>
              <a:ext cx="319617" cy="255059"/>
            </a:xfrm>
            <a:custGeom>
              <a:avLst/>
              <a:gdLst>
                <a:gd name="connsiteX0" fmla="*/ 0 w 323850"/>
                <a:gd name="connsiteY0" fmla="*/ 28608 h 238125"/>
                <a:gd name="connsiteX1" fmla="*/ 0 w 323850"/>
                <a:gd name="connsiteY1" fmla="*/ 28608 h 238125"/>
                <a:gd name="connsiteX2" fmla="*/ 14720 w 323850"/>
                <a:gd name="connsiteY2" fmla="*/ 27025 h 238125"/>
                <a:gd name="connsiteX3" fmla="*/ 25007 w 323850"/>
                <a:gd name="connsiteY3" fmla="*/ 22673 h 238125"/>
                <a:gd name="connsiteX4" fmla="*/ 48907 w 323850"/>
                <a:gd name="connsiteY4" fmla="*/ 22158 h 238125"/>
                <a:gd name="connsiteX5" fmla="*/ 71065 w 323850"/>
                <a:gd name="connsiteY5" fmla="*/ 21604 h 238125"/>
                <a:gd name="connsiteX6" fmla="*/ 87051 w 323850"/>
                <a:gd name="connsiteY6" fmla="*/ 25403 h 238125"/>
                <a:gd name="connsiteX7" fmla="*/ 96073 w 323850"/>
                <a:gd name="connsiteY7" fmla="*/ 23227 h 238125"/>
                <a:gd name="connsiteX8" fmla="*/ 114907 w 323850"/>
                <a:gd name="connsiteY8" fmla="*/ 12425 h 238125"/>
                <a:gd name="connsiteX9" fmla="*/ 137699 w 323850"/>
                <a:gd name="connsiteY9" fmla="*/ 9734 h 238125"/>
                <a:gd name="connsiteX10" fmla="*/ 153051 w 323850"/>
                <a:gd name="connsiteY10" fmla="*/ 5935 h 238125"/>
                <a:gd name="connsiteX11" fmla="*/ 164922 w 323850"/>
                <a:gd name="connsiteY11" fmla="*/ 554 h 238125"/>
                <a:gd name="connsiteX12" fmla="*/ 187239 w 323850"/>
                <a:gd name="connsiteY12" fmla="*/ 0 h 238125"/>
                <a:gd name="connsiteX13" fmla="*/ 219052 w 323850"/>
                <a:gd name="connsiteY13" fmla="*/ 2730 h 238125"/>
                <a:gd name="connsiteX14" fmla="*/ 242951 w 323850"/>
                <a:gd name="connsiteY14" fmla="*/ 1622 h 238125"/>
                <a:gd name="connsiteX15" fmla="*/ 241843 w 323850"/>
                <a:gd name="connsiteY15" fmla="*/ 18360 h 238125"/>
                <a:gd name="connsiteX16" fmla="*/ 288534 w 323850"/>
                <a:gd name="connsiteY16" fmla="*/ 19468 h 238125"/>
                <a:gd name="connsiteX17" fmla="*/ 321455 w 323850"/>
                <a:gd name="connsiteY17" fmla="*/ 18914 h 238125"/>
                <a:gd name="connsiteX18" fmla="*/ 322563 w 323850"/>
                <a:gd name="connsiteY18" fmla="*/ 47522 h 238125"/>
                <a:gd name="connsiteX19" fmla="*/ 327153 w 323850"/>
                <a:gd name="connsiteY19" fmla="*/ 71817 h 238125"/>
                <a:gd name="connsiteX20" fmla="*/ 327786 w 323850"/>
                <a:gd name="connsiteY20" fmla="*/ 101493 h 238125"/>
                <a:gd name="connsiteX21" fmla="*/ 331426 w 323850"/>
                <a:gd name="connsiteY21" fmla="*/ 172954 h 238125"/>
                <a:gd name="connsiteX22" fmla="*/ 330635 w 323850"/>
                <a:gd name="connsiteY22" fmla="*/ 209397 h 238125"/>
                <a:gd name="connsiteX23" fmla="*/ 329527 w 323850"/>
                <a:gd name="connsiteY23" fmla="*/ 219645 h 238125"/>
                <a:gd name="connsiteX24" fmla="*/ 321455 w 323850"/>
                <a:gd name="connsiteY24" fmla="*/ 237451 h 238125"/>
                <a:gd name="connsiteX25" fmla="*/ 317498 w 323850"/>
                <a:gd name="connsiteY25" fmla="*/ 241764 h 238125"/>
                <a:gd name="connsiteX26" fmla="*/ 307210 w 323850"/>
                <a:gd name="connsiteY26" fmla="*/ 243901 h 238125"/>
                <a:gd name="connsiteX27" fmla="*/ 292966 w 323850"/>
                <a:gd name="connsiteY27" fmla="*/ 243901 h 238125"/>
                <a:gd name="connsiteX28" fmla="*/ 278246 w 323850"/>
                <a:gd name="connsiteY28" fmla="*/ 241764 h 238125"/>
                <a:gd name="connsiteX29" fmla="*/ 242476 w 323850"/>
                <a:gd name="connsiteY29" fmla="*/ 239073 h 238125"/>
                <a:gd name="connsiteX30" fmla="*/ 207656 w 323850"/>
                <a:gd name="connsiteY30" fmla="*/ 237451 h 238125"/>
                <a:gd name="connsiteX31" fmla="*/ 187239 w 323850"/>
                <a:gd name="connsiteY31" fmla="*/ 236343 h 238125"/>
                <a:gd name="connsiteX32" fmla="*/ 176951 w 323850"/>
                <a:gd name="connsiteY32" fmla="*/ 240656 h 238125"/>
                <a:gd name="connsiteX33" fmla="*/ 154159 w 323850"/>
                <a:gd name="connsiteY33" fmla="*/ 240142 h 238125"/>
                <a:gd name="connsiteX34" fmla="*/ 155267 w 323850"/>
                <a:gd name="connsiteY34" fmla="*/ 231516 h 238125"/>
                <a:gd name="connsiteX35" fmla="*/ 150835 w 323850"/>
                <a:gd name="connsiteY35" fmla="*/ 207221 h 238125"/>
                <a:gd name="connsiteX36" fmla="*/ 149569 w 323850"/>
                <a:gd name="connsiteY36" fmla="*/ 172163 h 238125"/>
                <a:gd name="connsiteX37" fmla="*/ 125195 w 323850"/>
                <a:gd name="connsiteY37" fmla="*/ 168918 h 238125"/>
                <a:gd name="connsiteX38" fmla="*/ 109209 w 323850"/>
                <a:gd name="connsiteY38" fmla="*/ 171609 h 238125"/>
                <a:gd name="connsiteX39" fmla="*/ 89900 w 323850"/>
                <a:gd name="connsiteY39" fmla="*/ 176990 h 238125"/>
                <a:gd name="connsiteX40" fmla="*/ 80720 w 323850"/>
                <a:gd name="connsiteY40" fmla="*/ 179167 h 238125"/>
                <a:gd name="connsiteX41" fmla="*/ 57454 w 323850"/>
                <a:gd name="connsiteY41" fmla="*/ 180789 h 238125"/>
                <a:gd name="connsiteX42" fmla="*/ 37511 w 323850"/>
                <a:gd name="connsiteY42" fmla="*/ 183479 h 238125"/>
                <a:gd name="connsiteX43" fmla="*/ 30863 w 323850"/>
                <a:gd name="connsiteY43" fmla="*/ 167573 h 238125"/>
                <a:gd name="connsiteX44" fmla="*/ 17094 w 323850"/>
                <a:gd name="connsiteY44" fmla="*/ 137620 h 238125"/>
                <a:gd name="connsiteX45" fmla="*/ 1741 w 323850"/>
                <a:gd name="connsiteY45" fmla="*/ 117123 h 238125"/>
                <a:gd name="connsiteX46" fmla="*/ 0 w 323850"/>
                <a:gd name="connsiteY46" fmla="*/ 28608 h 238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323850" h="238125">
                  <a:moveTo>
                    <a:pt x="0" y="28608"/>
                  </a:moveTo>
                  <a:lnTo>
                    <a:pt x="0" y="28608"/>
                  </a:lnTo>
                  <a:lnTo>
                    <a:pt x="14720" y="27025"/>
                  </a:lnTo>
                  <a:lnTo>
                    <a:pt x="25007" y="22673"/>
                  </a:lnTo>
                  <a:lnTo>
                    <a:pt x="48907" y="22158"/>
                  </a:lnTo>
                  <a:lnTo>
                    <a:pt x="71065" y="21604"/>
                  </a:lnTo>
                  <a:lnTo>
                    <a:pt x="87051" y="25403"/>
                  </a:lnTo>
                  <a:lnTo>
                    <a:pt x="96073" y="23227"/>
                  </a:lnTo>
                  <a:lnTo>
                    <a:pt x="114907" y="12425"/>
                  </a:lnTo>
                  <a:lnTo>
                    <a:pt x="137699" y="9734"/>
                  </a:lnTo>
                  <a:lnTo>
                    <a:pt x="153051" y="5935"/>
                  </a:lnTo>
                  <a:lnTo>
                    <a:pt x="164922" y="554"/>
                  </a:lnTo>
                  <a:lnTo>
                    <a:pt x="187239" y="0"/>
                  </a:lnTo>
                  <a:lnTo>
                    <a:pt x="219052" y="2730"/>
                  </a:lnTo>
                  <a:lnTo>
                    <a:pt x="242951" y="1622"/>
                  </a:lnTo>
                  <a:lnTo>
                    <a:pt x="241843" y="18360"/>
                  </a:lnTo>
                  <a:lnTo>
                    <a:pt x="288534" y="19468"/>
                  </a:lnTo>
                  <a:lnTo>
                    <a:pt x="321455" y="18914"/>
                  </a:lnTo>
                  <a:lnTo>
                    <a:pt x="322563" y="47522"/>
                  </a:lnTo>
                  <a:lnTo>
                    <a:pt x="327153" y="71817"/>
                  </a:lnTo>
                  <a:lnTo>
                    <a:pt x="327786" y="101493"/>
                  </a:lnTo>
                  <a:lnTo>
                    <a:pt x="331426" y="172954"/>
                  </a:lnTo>
                  <a:lnTo>
                    <a:pt x="330635" y="209397"/>
                  </a:lnTo>
                  <a:lnTo>
                    <a:pt x="329527" y="219645"/>
                  </a:lnTo>
                  <a:lnTo>
                    <a:pt x="321455" y="237451"/>
                  </a:lnTo>
                  <a:lnTo>
                    <a:pt x="317498" y="241764"/>
                  </a:lnTo>
                  <a:lnTo>
                    <a:pt x="307210" y="243901"/>
                  </a:lnTo>
                  <a:lnTo>
                    <a:pt x="292966" y="243901"/>
                  </a:lnTo>
                  <a:lnTo>
                    <a:pt x="278246" y="241764"/>
                  </a:lnTo>
                  <a:lnTo>
                    <a:pt x="242476" y="239073"/>
                  </a:lnTo>
                  <a:lnTo>
                    <a:pt x="207656" y="237451"/>
                  </a:lnTo>
                  <a:lnTo>
                    <a:pt x="187239" y="236343"/>
                  </a:lnTo>
                  <a:lnTo>
                    <a:pt x="176951" y="240656"/>
                  </a:lnTo>
                  <a:lnTo>
                    <a:pt x="154159" y="240142"/>
                  </a:lnTo>
                  <a:lnTo>
                    <a:pt x="155267" y="231516"/>
                  </a:lnTo>
                  <a:lnTo>
                    <a:pt x="150835" y="207221"/>
                  </a:lnTo>
                  <a:lnTo>
                    <a:pt x="149569" y="172163"/>
                  </a:lnTo>
                  <a:lnTo>
                    <a:pt x="125195" y="168918"/>
                  </a:lnTo>
                  <a:lnTo>
                    <a:pt x="109209" y="171609"/>
                  </a:lnTo>
                  <a:lnTo>
                    <a:pt x="89900" y="176990"/>
                  </a:lnTo>
                  <a:lnTo>
                    <a:pt x="80720" y="179167"/>
                  </a:lnTo>
                  <a:lnTo>
                    <a:pt x="57454" y="180789"/>
                  </a:lnTo>
                  <a:lnTo>
                    <a:pt x="37511" y="183479"/>
                  </a:lnTo>
                  <a:lnTo>
                    <a:pt x="30863" y="167573"/>
                  </a:lnTo>
                  <a:lnTo>
                    <a:pt x="17094" y="137620"/>
                  </a:lnTo>
                  <a:lnTo>
                    <a:pt x="1741" y="117123"/>
                  </a:lnTo>
                  <a:lnTo>
                    <a:pt x="0" y="28608"/>
                  </a:lnTo>
                </a:path>
              </a:pathLst>
            </a:custGeom>
            <a:solidFill>
              <a:srgbClr val="C6E0B4"/>
            </a:solidFill>
            <a:ln w="5132" cap="flat">
              <a:solidFill>
                <a:srgbClr val="030000"/>
              </a:solidFill>
              <a:prstDash val="solid"/>
              <a:miter/>
            </a:ln>
          </xdr:spPr>
          <xdr:txBody>
            <a:bodyPr rtlCol="0" anchor="ctr"/>
            <a:lstStyle/>
            <a:p>
              <a:endParaRPr lang="en-US"/>
            </a:p>
          </xdr:txBody>
        </xdr:sp>
        <xdr:sp macro="" textlink="">
          <xdr:nvSpPr>
            <xdr:cNvPr id="119" name="16_1">
              <a:extLst>
                <a:ext uri="{FF2B5EF4-FFF2-40B4-BE49-F238E27FC236}">
                  <a16:creationId xmlns:a16="http://schemas.microsoft.com/office/drawing/2014/main" id="{9332D540-1EF4-A34D-8625-A9118E544191}"/>
                </a:ext>
              </a:extLst>
            </xdr:cNvPr>
            <xdr:cNvSpPr/>
          </xdr:nvSpPr>
          <xdr:spPr>
            <a:xfrm>
              <a:off x="5476209" y="4160290"/>
              <a:ext cx="348192" cy="275166"/>
            </a:xfrm>
            <a:custGeom>
              <a:avLst/>
              <a:gdLst>
                <a:gd name="connsiteX0" fmla="*/ 160648 w 352425"/>
                <a:gd name="connsiteY0" fmla="*/ 4907 h 266700"/>
                <a:gd name="connsiteX1" fmla="*/ 160648 w 352425"/>
                <a:gd name="connsiteY1" fmla="*/ 4907 h 266700"/>
                <a:gd name="connsiteX2" fmla="*/ 227757 w 352425"/>
                <a:gd name="connsiteY2" fmla="*/ 0 h 266700"/>
                <a:gd name="connsiteX3" fmla="*/ 228865 w 352425"/>
                <a:gd name="connsiteY3" fmla="*/ 20813 h 266700"/>
                <a:gd name="connsiteX4" fmla="*/ 241368 w 352425"/>
                <a:gd name="connsiteY4" fmla="*/ 34266 h 266700"/>
                <a:gd name="connsiteX5" fmla="*/ 337599 w 352425"/>
                <a:gd name="connsiteY5" fmla="*/ 84479 h 266700"/>
                <a:gd name="connsiteX6" fmla="*/ 337283 w 352425"/>
                <a:gd name="connsiteY6" fmla="*/ 157562 h 266700"/>
                <a:gd name="connsiteX7" fmla="*/ 339340 w 352425"/>
                <a:gd name="connsiteY7" fmla="*/ 170264 h 266700"/>
                <a:gd name="connsiteX8" fmla="*/ 339024 w 352425"/>
                <a:gd name="connsiteY8" fmla="*/ 186249 h 266700"/>
                <a:gd name="connsiteX9" fmla="*/ 337599 w 352425"/>
                <a:gd name="connsiteY9" fmla="*/ 199663 h 266700"/>
                <a:gd name="connsiteX10" fmla="*/ 336966 w 352425"/>
                <a:gd name="connsiteY10" fmla="*/ 214778 h 266700"/>
                <a:gd name="connsiteX11" fmla="*/ 340923 w 352425"/>
                <a:gd name="connsiteY11" fmla="*/ 222059 h 266700"/>
                <a:gd name="connsiteX12" fmla="*/ 347887 w 352425"/>
                <a:gd name="connsiteY12" fmla="*/ 232584 h 266700"/>
                <a:gd name="connsiteX13" fmla="*/ 359758 w 352425"/>
                <a:gd name="connsiteY13" fmla="*/ 244455 h 266700"/>
                <a:gd name="connsiteX14" fmla="*/ 360865 w 352425"/>
                <a:gd name="connsiteY14" fmla="*/ 260638 h 266700"/>
                <a:gd name="connsiteX15" fmla="*/ 327944 w 352425"/>
                <a:gd name="connsiteY15" fmla="*/ 261192 h 266700"/>
                <a:gd name="connsiteX16" fmla="*/ 281253 w 352425"/>
                <a:gd name="connsiteY16" fmla="*/ 260084 h 266700"/>
                <a:gd name="connsiteX17" fmla="*/ 282361 w 352425"/>
                <a:gd name="connsiteY17" fmla="*/ 243347 h 266700"/>
                <a:gd name="connsiteX18" fmla="*/ 258462 w 352425"/>
                <a:gd name="connsiteY18" fmla="*/ 244455 h 266700"/>
                <a:gd name="connsiteX19" fmla="*/ 226649 w 352425"/>
                <a:gd name="connsiteY19" fmla="*/ 241724 h 266700"/>
                <a:gd name="connsiteX20" fmla="*/ 204332 w 352425"/>
                <a:gd name="connsiteY20" fmla="*/ 242278 h 266700"/>
                <a:gd name="connsiteX21" fmla="*/ 192462 w 352425"/>
                <a:gd name="connsiteY21" fmla="*/ 247660 h 266700"/>
                <a:gd name="connsiteX22" fmla="*/ 177109 w 352425"/>
                <a:gd name="connsiteY22" fmla="*/ 251458 h 266700"/>
                <a:gd name="connsiteX23" fmla="*/ 154317 w 352425"/>
                <a:gd name="connsiteY23" fmla="*/ 254149 h 266700"/>
                <a:gd name="connsiteX24" fmla="*/ 135483 w 352425"/>
                <a:gd name="connsiteY24" fmla="*/ 264951 h 266700"/>
                <a:gd name="connsiteX25" fmla="*/ 126461 w 352425"/>
                <a:gd name="connsiteY25" fmla="*/ 267127 h 266700"/>
                <a:gd name="connsiteX26" fmla="*/ 110475 w 352425"/>
                <a:gd name="connsiteY26" fmla="*/ 263329 h 266700"/>
                <a:gd name="connsiteX27" fmla="*/ 88317 w 352425"/>
                <a:gd name="connsiteY27" fmla="*/ 263883 h 266700"/>
                <a:gd name="connsiteX28" fmla="*/ 64418 w 352425"/>
                <a:gd name="connsiteY28" fmla="*/ 264397 h 266700"/>
                <a:gd name="connsiteX29" fmla="*/ 54130 w 352425"/>
                <a:gd name="connsiteY29" fmla="*/ 268750 h 266700"/>
                <a:gd name="connsiteX30" fmla="*/ 39410 w 352425"/>
                <a:gd name="connsiteY30" fmla="*/ 270333 h 266700"/>
                <a:gd name="connsiteX31" fmla="*/ 36561 w 352425"/>
                <a:gd name="connsiteY31" fmla="*/ 224473 h 266700"/>
                <a:gd name="connsiteX32" fmla="*/ 18360 w 352425"/>
                <a:gd name="connsiteY32" fmla="*/ 205044 h 266700"/>
                <a:gd name="connsiteX33" fmla="*/ 13137 w 352425"/>
                <a:gd name="connsiteY33" fmla="*/ 198041 h 266700"/>
                <a:gd name="connsiteX34" fmla="*/ 10288 w 352425"/>
                <a:gd name="connsiteY34" fmla="*/ 189929 h 266700"/>
                <a:gd name="connsiteX35" fmla="*/ 0 w 352425"/>
                <a:gd name="connsiteY35" fmla="*/ 169274 h 266700"/>
                <a:gd name="connsiteX36" fmla="*/ 128202 w 352425"/>
                <a:gd name="connsiteY36" fmla="*/ 46968 h 266700"/>
                <a:gd name="connsiteX37" fmla="*/ 160648 w 352425"/>
                <a:gd name="connsiteY37" fmla="*/ 4907 h 2667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Lst>
              <a:rect l="l" t="t" r="r" b="b"/>
              <a:pathLst>
                <a:path w="352425" h="266700">
                  <a:moveTo>
                    <a:pt x="160648" y="4907"/>
                  </a:moveTo>
                  <a:lnTo>
                    <a:pt x="160648" y="4907"/>
                  </a:lnTo>
                  <a:lnTo>
                    <a:pt x="227757" y="0"/>
                  </a:lnTo>
                  <a:lnTo>
                    <a:pt x="228865" y="20813"/>
                  </a:lnTo>
                  <a:lnTo>
                    <a:pt x="241368" y="34266"/>
                  </a:lnTo>
                  <a:lnTo>
                    <a:pt x="337599" y="84479"/>
                  </a:lnTo>
                  <a:lnTo>
                    <a:pt x="337283" y="157562"/>
                  </a:lnTo>
                  <a:lnTo>
                    <a:pt x="339340" y="170264"/>
                  </a:lnTo>
                  <a:lnTo>
                    <a:pt x="339024" y="186249"/>
                  </a:lnTo>
                  <a:lnTo>
                    <a:pt x="337599" y="199663"/>
                  </a:lnTo>
                  <a:lnTo>
                    <a:pt x="336966" y="214778"/>
                  </a:lnTo>
                  <a:lnTo>
                    <a:pt x="340923" y="222059"/>
                  </a:lnTo>
                  <a:lnTo>
                    <a:pt x="347887" y="232584"/>
                  </a:lnTo>
                  <a:lnTo>
                    <a:pt x="359758" y="244455"/>
                  </a:lnTo>
                  <a:lnTo>
                    <a:pt x="360865" y="260638"/>
                  </a:lnTo>
                  <a:lnTo>
                    <a:pt x="327944" y="261192"/>
                  </a:lnTo>
                  <a:lnTo>
                    <a:pt x="281253" y="260084"/>
                  </a:lnTo>
                  <a:lnTo>
                    <a:pt x="282361" y="243347"/>
                  </a:lnTo>
                  <a:lnTo>
                    <a:pt x="258462" y="244455"/>
                  </a:lnTo>
                  <a:lnTo>
                    <a:pt x="226649" y="241724"/>
                  </a:lnTo>
                  <a:lnTo>
                    <a:pt x="204332" y="242278"/>
                  </a:lnTo>
                  <a:lnTo>
                    <a:pt x="192462" y="247660"/>
                  </a:lnTo>
                  <a:lnTo>
                    <a:pt x="177109" y="251458"/>
                  </a:lnTo>
                  <a:lnTo>
                    <a:pt x="154317" y="254149"/>
                  </a:lnTo>
                  <a:lnTo>
                    <a:pt x="135483" y="264951"/>
                  </a:lnTo>
                  <a:lnTo>
                    <a:pt x="126461" y="267127"/>
                  </a:lnTo>
                  <a:lnTo>
                    <a:pt x="110475" y="263329"/>
                  </a:lnTo>
                  <a:lnTo>
                    <a:pt x="88317" y="263883"/>
                  </a:lnTo>
                  <a:lnTo>
                    <a:pt x="64418" y="264397"/>
                  </a:lnTo>
                  <a:lnTo>
                    <a:pt x="54130" y="268750"/>
                  </a:lnTo>
                  <a:lnTo>
                    <a:pt x="39410" y="270333"/>
                  </a:lnTo>
                  <a:lnTo>
                    <a:pt x="36561" y="224473"/>
                  </a:lnTo>
                  <a:lnTo>
                    <a:pt x="18360" y="205044"/>
                  </a:lnTo>
                  <a:lnTo>
                    <a:pt x="13137" y="198041"/>
                  </a:lnTo>
                  <a:lnTo>
                    <a:pt x="10288" y="189929"/>
                  </a:lnTo>
                  <a:lnTo>
                    <a:pt x="0" y="169274"/>
                  </a:lnTo>
                  <a:lnTo>
                    <a:pt x="128202" y="46968"/>
                  </a:lnTo>
                  <a:lnTo>
                    <a:pt x="160648" y="4907"/>
                  </a:lnTo>
                </a:path>
              </a:pathLst>
            </a:custGeom>
            <a:solidFill>
              <a:srgbClr val="C6E0B4"/>
            </a:solidFill>
            <a:ln w="5132" cap="flat">
              <a:solidFill>
                <a:srgbClr val="030000"/>
              </a:solidFill>
              <a:prstDash val="solid"/>
              <a:miter/>
            </a:ln>
          </xdr:spPr>
          <xdr:txBody>
            <a:bodyPr rtlCol="0" anchor="ctr"/>
            <a:lstStyle/>
            <a:p>
              <a:endParaRPr lang="en-US"/>
            </a:p>
          </xdr:txBody>
        </xdr:sp>
        <xdr:sp macro="" textlink="">
          <xdr:nvSpPr>
            <xdr:cNvPr id="120" name="15_1">
              <a:extLst>
                <a:ext uri="{FF2B5EF4-FFF2-40B4-BE49-F238E27FC236}">
                  <a16:creationId xmlns:a16="http://schemas.microsoft.com/office/drawing/2014/main" id="{2808D522-AC5B-9947-B4D0-C335017427D1}"/>
                </a:ext>
              </a:extLst>
            </xdr:cNvPr>
            <xdr:cNvSpPr/>
          </xdr:nvSpPr>
          <xdr:spPr>
            <a:xfrm>
              <a:off x="5162825" y="4338030"/>
              <a:ext cx="419100" cy="587375"/>
            </a:xfrm>
            <a:custGeom>
              <a:avLst/>
              <a:gdLst>
                <a:gd name="connsiteX0" fmla="*/ 0 w 419100"/>
                <a:gd name="connsiteY0" fmla="*/ 228429 h 561975"/>
                <a:gd name="connsiteX1" fmla="*/ 0 w 419100"/>
                <a:gd name="connsiteY1" fmla="*/ 228429 h 561975"/>
                <a:gd name="connsiteX2" fmla="*/ 48907 w 419100"/>
                <a:gd name="connsiteY2" fmla="*/ 172321 h 561975"/>
                <a:gd name="connsiteX3" fmla="*/ 70590 w 419100"/>
                <a:gd name="connsiteY3" fmla="*/ 132357 h 561975"/>
                <a:gd name="connsiteX4" fmla="*/ 114907 w 419100"/>
                <a:gd name="connsiteY4" fmla="*/ 87051 h 561975"/>
                <a:gd name="connsiteX5" fmla="*/ 162706 w 419100"/>
                <a:gd name="connsiteY5" fmla="*/ 40637 h 561975"/>
                <a:gd name="connsiteX6" fmla="*/ 220793 w 419100"/>
                <a:gd name="connsiteY6" fmla="*/ 32011 h 561975"/>
                <a:gd name="connsiteX7" fmla="*/ 254980 w 419100"/>
                <a:gd name="connsiteY7" fmla="*/ 24453 h 561975"/>
                <a:gd name="connsiteX8" fmla="*/ 313383 w 419100"/>
                <a:gd name="connsiteY8" fmla="*/ 0 h 561975"/>
                <a:gd name="connsiteX9" fmla="*/ 323671 w 419100"/>
                <a:gd name="connsiteY9" fmla="*/ 20655 h 561975"/>
                <a:gd name="connsiteX10" fmla="*/ 326520 w 419100"/>
                <a:gd name="connsiteY10" fmla="*/ 28766 h 561975"/>
                <a:gd name="connsiteX11" fmla="*/ 331743 w 419100"/>
                <a:gd name="connsiteY11" fmla="*/ 35770 h 561975"/>
                <a:gd name="connsiteX12" fmla="*/ 349945 w 419100"/>
                <a:gd name="connsiteY12" fmla="*/ 55198 h 561975"/>
                <a:gd name="connsiteX13" fmla="*/ 352793 w 419100"/>
                <a:gd name="connsiteY13" fmla="*/ 101058 h 561975"/>
                <a:gd name="connsiteX14" fmla="*/ 354534 w 419100"/>
                <a:gd name="connsiteY14" fmla="*/ 189573 h 561975"/>
                <a:gd name="connsiteX15" fmla="*/ 369887 w 419100"/>
                <a:gd name="connsiteY15" fmla="*/ 210070 h 561975"/>
                <a:gd name="connsiteX16" fmla="*/ 383657 w 419100"/>
                <a:gd name="connsiteY16" fmla="*/ 240023 h 561975"/>
                <a:gd name="connsiteX17" fmla="*/ 390304 w 419100"/>
                <a:gd name="connsiteY17" fmla="*/ 255930 h 561975"/>
                <a:gd name="connsiteX18" fmla="*/ 394261 w 419100"/>
                <a:gd name="connsiteY18" fmla="*/ 268315 h 561975"/>
                <a:gd name="connsiteX19" fmla="*/ 396635 w 419100"/>
                <a:gd name="connsiteY19" fmla="*/ 280739 h 561975"/>
                <a:gd name="connsiteX20" fmla="*/ 396635 w 419100"/>
                <a:gd name="connsiteY20" fmla="*/ 310415 h 561975"/>
                <a:gd name="connsiteX21" fmla="*/ 401067 w 419100"/>
                <a:gd name="connsiteY21" fmla="*/ 415628 h 561975"/>
                <a:gd name="connsiteX22" fmla="*/ 404549 w 419100"/>
                <a:gd name="connsiteY22" fmla="*/ 425916 h 561975"/>
                <a:gd name="connsiteX23" fmla="*/ 414837 w 419100"/>
                <a:gd name="connsiteY23" fmla="*/ 435610 h 561975"/>
                <a:gd name="connsiteX24" fmla="*/ 428449 w 419100"/>
                <a:gd name="connsiteY24" fmla="*/ 483093 h 561975"/>
                <a:gd name="connsiteX25" fmla="*/ 413729 w 419100"/>
                <a:gd name="connsiteY25" fmla="*/ 566741 h 561975"/>
                <a:gd name="connsiteX26" fmla="*/ 334592 w 419100"/>
                <a:gd name="connsiteY26" fmla="*/ 492273 h 561975"/>
                <a:gd name="connsiteX27" fmla="*/ 276505 w 419100"/>
                <a:gd name="connsiteY27" fmla="*/ 443168 h 561975"/>
                <a:gd name="connsiteX28" fmla="*/ 211138 w 419100"/>
                <a:gd name="connsiteY28" fmla="*/ 393510 h 561975"/>
                <a:gd name="connsiteX29" fmla="*/ 167771 w 419100"/>
                <a:gd name="connsiteY29" fmla="*/ 363873 h 561975"/>
                <a:gd name="connsiteX30" fmla="*/ 121713 w 419100"/>
                <a:gd name="connsiteY30" fmla="*/ 342783 h 561975"/>
                <a:gd name="connsiteX31" fmla="*/ 113166 w 419100"/>
                <a:gd name="connsiteY31" fmla="*/ 333603 h 561975"/>
                <a:gd name="connsiteX32" fmla="*/ 79612 w 419100"/>
                <a:gd name="connsiteY32" fmla="*/ 310415 h 561975"/>
                <a:gd name="connsiteX33" fmla="*/ 51123 w 419100"/>
                <a:gd name="connsiteY33" fmla="*/ 285606 h 561975"/>
                <a:gd name="connsiteX34" fmla="*/ 26115 w 419100"/>
                <a:gd name="connsiteY34" fmla="*/ 269937 h 561975"/>
                <a:gd name="connsiteX35" fmla="*/ 21525 w 419100"/>
                <a:gd name="connsiteY35" fmla="*/ 254307 h 561975"/>
                <a:gd name="connsiteX36" fmla="*/ 12504 w 419100"/>
                <a:gd name="connsiteY36" fmla="*/ 247818 h 561975"/>
                <a:gd name="connsiteX37" fmla="*/ 0 w 419100"/>
                <a:gd name="connsiteY37" fmla="*/ 228429 h 5619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Lst>
              <a:rect l="l" t="t" r="r" b="b"/>
              <a:pathLst>
                <a:path w="419100" h="561975">
                  <a:moveTo>
                    <a:pt x="0" y="228429"/>
                  </a:moveTo>
                  <a:lnTo>
                    <a:pt x="0" y="228429"/>
                  </a:lnTo>
                  <a:lnTo>
                    <a:pt x="48907" y="172321"/>
                  </a:lnTo>
                  <a:lnTo>
                    <a:pt x="70590" y="132357"/>
                  </a:lnTo>
                  <a:lnTo>
                    <a:pt x="114907" y="87051"/>
                  </a:lnTo>
                  <a:lnTo>
                    <a:pt x="162706" y="40637"/>
                  </a:lnTo>
                  <a:lnTo>
                    <a:pt x="220793" y="32011"/>
                  </a:lnTo>
                  <a:lnTo>
                    <a:pt x="254980" y="24453"/>
                  </a:lnTo>
                  <a:lnTo>
                    <a:pt x="313383" y="0"/>
                  </a:lnTo>
                  <a:lnTo>
                    <a:pt x="323671" y="20655"/>
                  </a:lnTo>
                  <a:lnTo>
                    <a:pt x="326520" y="28766"/>
                  </a:lnTo>
                  <a:lnTo>
                    <a:pt x="331743" y="35770"/>
                  </a:lnTo>
                  <a:lnTo>
                    <a:pt x="349945" y="55198"/>
                  </a:lnTo>
                  <a:lnTo>
                    <a:pt x="352793" y="101058"/>
                  </a:lnTo>
                  <a:lnTo>
                    <a:pt x="354534" y="189573"/>
                  </a:lnTo>
                  <a:lnTo>
                    <a:pt x="369887" y="210070"/>
                  </a:lnTo>
                  <a:lnTo>
                    <a:pt x="383657" y="240023"/>
                  </a:lnTo>
                  <a:lnTo>
                    <a:pt x="390304" y="255930"/>
                  </a:lnTo>
                  <a:lnTo>
                    <a:pt x="394261" y="268315"/>
                  </a:lnTo>
                  <a:lnTo>
                    <a:pt x="396635" y="280739"/>
                  </a:lnTo>
                  <a:lnTo>
                    <a:pt x="396635" y="310415"/>
                  </a:lnTo>
                  <a:lnTo>
                    <a:pt x="401067" y="415628"/>
                  </a:lnTo>
                  <a:lnTo>
                    <a:pt x="404549" y="425916"/>
                  </a:lnTo>
                  <a:lnTo>
                    <a:pt x="414837" y="435610"/>
                  </a:lnTo>
                  <a:lnTo>
                    <a:pt x="428449" y="483093"/>
                  </a:lnTo>
                  <a:lnTo>
                    <a:pt x="413729" y="566741"/>
                  </a:lnTo>
                  <a:lnTo>
                    <a:pt x="334592" y="492273"/>
                  </a:lnTo>
                  <a:lnTo>
                    <a:pt x="276505" y="443168"/>
                  </a:lnTo>
                  <a:lnTo>
                    <a:pt x="211138" y="393510"/>
                  </a:lnTo>
                  <a:lnTo>
                    <a:pt x="167771" y="363873"/>
                  </a:lnTo>
                  <a:lnTo>
                    <a:pt x="121713" y="342783"/>
                  </a:lnTo>
                  <a:lnTo>
                    <a:pt x="113166" y="333603"/>
                  </a:lnTo>
                  <a:lnTo>
                    <a:pt x="79612" y="310415"/>
                  </a:lnTo>
                  <a:lnTo>
                    <a:pt x="51123" y="285606"/>
                  </a:lnTo>
                  <a:lnTo>
                    <a:pt x="26115" y="269937"/>
                  </a:lnTo>
                  <a:lnTo>
                    <a:pt x="21525" y="254307"/>
                  </a:lnTo>
                  <a:lnTo>
                    <a:pt x="12504" y="247818"/>
                  </a:lnTo>
                  <a:lnTo>
                    <a:pt x="0" y="228429"/>
                  </a:lnTo>
                </a:path>
              </a:pathLst>
            </a:custGeom>
            <a:solidFill>
              <a:srgbClr val="FFFFFF"/>
            </a:solidFill>
            <a:ln w="5132" cap="flat">
              <a:solidFill>
                <a:srgbClr val="030000"/>
              </a:solidFill>
              <a:prstDash val="solid"/>
              <a:miter/>
            </a:ln>
          </xdr:spPr>
          <xdr:txBody>
            <a:bodyPr rtlCol="0" anchor="ctr"/>
            <a:lstStyle/>
            <a:p>
              <a:endParaRPr lang="en-US"/>
            </a:p>
          </xdr:txBody>
        </xdr:sp>
        <xdr:sp macro="" textlink="">
          <xdr:nvSpPr>
            <xdr:cNvPr id="121" name="14_1">
              <a:extLst>
                <a:ext uri="{FF2B5EF4-FFF2-40B4-BE49-F238E27FC236}">
                  <a16:creationId xmlns:a16="http://schemas.microsoft.com/office/drawing/2014/main" id="{411EA218-6450-8840-BD4E-A2C1DAF27682}"/>
                </a:ext>
              </a:extLst>
            </xdr:cNvPr>
            <xdr:cNvSpPr/>
          </xdr:nvSpPr>
          <xdr:spPr>
            <a:xfrm>
              <a:off x="4689071" y="3822375"/>
              <a:ext cx="938741" cy="851959"/>
            </a:xfrm>
            <a:custGeom>
              <a:avLst/>
              <a:gdLst>
                <a:gd name="connsiteX0" fmla="*/ 823976 w 942975"/>
                <a:gd name="connsiteY0" fmla="*/ 219012 h 809625"/>
                <a:gd name="connsiteX1" fmla="*/ 823976 w 942975"/>
                <a:gd name="connsiteY1" fmla="*/ 219012 h 809625"/>
                <a:gd name="connsiteX2" fmla="*/ 847875 w 942975"/>
                <a:gd name="connsiteY2" fmla="*/ 245998 h 809625"/>
                <a:gd name="connsiteX3" fmla="*/ 901372 w 942975"/>
                <a:gd name="connsiteY3" fmla="*/ 257868 h 809625"/>
                <a:gd name="connsiteX4" fmla="*/ 925272 w 942975"/>
                <a:gd name="connsiteY4" fmla="*/ 253555 h 809625"/>
                <a:gd name="connsiteX5" fmla="*/ 943790 w 942975"/>
                <a:gd name="connsiteY5" fmla="*/ 240102 h 809625"/>
                <a:gd name="connsiteX6" fmla="*/ 948063 w 942975"/>
                <a:gd name="connsiteY6" fmla="*/ 292689 h 809625"/>
                <a:gd name="connsiteX7" fmla="*/ 952020 w 942975"/>
                <a:gd name="connsiteY7" fmla="*/ 325887 h 809625"/>
                <a:gd name="connsiteX8" fmla="*/ 919574 w 942975"/>
                <a:gd name="connsiteY8" fmla="*/ 367948 h 809625"/>
                <a:gd name="connsiteX9" fmla="*/ 791372 w 942975"/>
                <a:gd name="connsiteY9" fmla="*/ 490255 h 809625"/>
                <a:gd name="connsiteX10" fmla="*/ 732968 w 942975"/>
                <a:gd name="connsiteY10" fmla="*/ 514708 h 809625"/>
                <a:gd name="connsiteX11" fmla="*/ 698781 w 942975"/>
                <a:gd name="connsiteY11" fmla="*/ 522266 h 809625"/>
                <a:gd name="connsiteX12" fmla="*/ 640694 w 942975"/>
                <a:gd name="connsiteY12" fmla="*/ 530892 h 809625"/>
                <a:gd name="connsiteX13" fmla="*/ 592896 w 942975"/>
                <a:gd name="connsiteY13" fmla="*/ 577306 h 809625"/>
                <a:gd name="connsiteX14" fmla="*/ 548579 w 942975"/>
                <a:gd name="connsiteY14" fmla="*/ 622612 h 809625"/>
                <a:gd name="connsiteX15" fmla="*/ 526895 w 942975"/>
                <a:gd name="connsiteY15" fmla="*/ 662576 h 809625"/>
                <a:gd name="connsiteX16" fmla="*/ 477988 w 942975"/>
                <a:gd name="connsiteY16" fmla="*/ 718684 h 809625"/>
                <a:gd name="connsiteX17" fmla="*/ 425600 w 942975"/>
                <a:gd name="connsiteY17" fmla="*/ 774792 h 809625"/>
                <a:gd name="connsiteX18" fmla="*/ 397110 w 942975"/>
                <a:gd name="connsiteY18" fmla="*/ 814717 h 809625"/>
                <a:gd name="connsiteX19" fmla="*/ 385714 w 942975"/>
                <a:gd name="connsiteY19" fmla="*/ 799602 h 809625"/>
                <a:gd name="connsiteX20" fmla="*/ 352793 w 942975"/>
                <a:gd name="connsiteY20" fmla="*/ 789908 h 809625"/>
                <a:gd name="connsiteX21" fmla="*/ 328894 w 942975"/>
                <a:gd name="connsiteY21" fmla="*/ 773170 h 809625"/>
                <a:gd name="connsiteX22" fmla="*/ 302620 w 942975"/>
                <a:gd name="connsiteY22" fmla="*/ 732691 h 809625"/>
                <a:gd name="connsiteX23" fmla="*/ 299297 w 942975"/>
                <a:gd name="connsiteY23" fmla="*/ 712749 h 809625"/>
                <a:gd name="connsiteX24" fmla="*/ 275397 w 942975"/>
                <a:gd name="connsiteY24" fmla="*/ 711126 h 809625"/>
                <a:gd name="connsiteX25" fmla="*/ 248649 w 942975"/>
                <a:gd name="connsiteY25" fmla="*/ 706260 h 809625"/>
                <a:gd name="connsiteX26" fmla="*/ 234404 w 942975"/>
                <a:gd name="connsiteY26" fmla="*/ 705191 h 809625"/>
                <a:gd name="connsiteX27" fmla="*/ 208764 w 942975"/>
                <a:gd name="connsiteY27" fmla="*/ 696011 h 809625"/>
                <a:gd name="connsiteX28" fmla="*/ 163339 w 942975"/>
                <a:gd name="connsiteY28" fmla="*/ 689008 h 809625"/>
                <a:gd name="connsiteX29" fmla="*/ 0 w 942975"/>
                <a:gd name="connsiteY29" fmla="*/ 650666 h 809625"/>
                <a:gd name="connsiteX30" fmla="*/ 31813 w 942975"/>
                <a:gd name="connsiteY30" fmla="*/ 627993 h 809625"/>
                <a:gd name="connsiteX31" fmla="*/ 56820 w 942975"/>
                <a:gd name="connsiteY31" fmla="*/ 572993 h 809625"/>
                <a:gd name="connsiteX32" fmla="*/ 71065 w 942975"/>
                <a:gd name="connsiteY32" fmla="*/ 562705 h 809625"/>
                <a:gd name="connsiteX33" fmla="*/ 102403 w 942975"/>
                <a:gd name="connsiteY33" fmla="*/ 501730 h 809625"/>
                <a:gd name="connsiteX34" fmla="*/ 118389 w 942975"/>
                <a:gd name="connsiteY34" fmla="*/ 480719 h 809625"/>
                <a:gd name="connsiteX35" fmla="*/ 127411 w 942975"/>
                <a:gd name="connsiteY35" fmla="*/ 413808 h 809625"/>
                <a:gd name="connsiteX36" fmla="*/ 60777 w 942975"/>
                <a:gd name="connsiteY36" fmla="*/ 454762 h 809625"/>
                <a:gd name="connsiteX37" fmla="*/ 52231 w 942975"/>
                <a:gd name="connsiteY37" fmla="*/ 422988 h 809625"/>
                <a:gd name="connsiteX38" fmla="*/ 52864 w 942975"/>
                <a:gd name="connsiteY38" fmla="*/ 344207 h 809625"/>
                <a:gd name="connsiteX39" fmla="*/ 56820 w 942975"/>
                <a:gd name="connsiteY39" fmla="*/ 309664 h 809625"/>
                <a:gd name="connsiteX40" fmla="*/ 133742 w 942975"/>
                <a:gd name="connsiteY40" fmla="*/ 310772 h 809625"/>
                <a:gd name="connsiteX41" fmla="*/ 137699 w 942975"/>
                <a:gd name="connsiteY41" fmla="*/ 236858 h 809625"/>
                <a:gd name="connsiteX42" fmla="*/ 141656 w 942975"/>
                <a:gd name="connsiteY42" fmla="*/ 90612 h 809625"/>
                <a:gd name="connsiteX43" fmla="*/ 133742 w 942975"/>
                <a:gd name="connsiteY43" fmla="*/ 47482 h 809625"/>
                <a:gd name="connsiteX44" fmla="*/ 129152 w 942975"/>
                <a:gd name="connsiteY44" fmla="*/ 37748 h 809625"/>
                <a:gd name="connsiteX45" fmla="*/ 126303 w 942975"/>
                <a:gd name="connsiteY45" fmla="*/ 16698 h 809625"/>
                <a:gd name="connsiteX46" fmla="*/ 155900 w 942975"/>
                <a:gd name="connsiteY46" fmla="*/ 0 h 809625"/>
                <a:gd name="connsiteX47" fmla="*/ 207023 w 942975"/>
                <a:gd name="connsiteY47" fmla="*/ 33989 h 809625"/>
                <a:gd name="connsiteX48" fmla="*/ 267958 w 942975"/>
                <a:gd name="connsiteY48" fmla="*/ 82540 h 809625"/>
                <a:gd name="connsiteX49" fmla="*/ 337441 w 942975"/>
                <a:gd name="connsiteY49" fmla="*/ 135958 h 809625"/>
                <a:gd name="connsiteX50" fmla="*/ 479729 w 942975"/>
                <a:gd name="connsiteY50" fmla="*/ 234681 h 809625"/>
                <a:gd name="connsiteX51" fmla="*/ 571212 w 942975"/>
                <a:gd name="connsiteY51" fmla="*/ 259491 h 809625"/>
                <a:gd name="connsiteX52" fmla="*/ 643069 w 942975"/>
                <a:gd name="connsiteY52" fmla="*/ 276743 h 809625"/>
                <a:gd name="connsiteX53" fmla="*/ 675356 w 942975"/>
                <a:gd name="connsiteY53" fmla="*/ 284854 h 809625"/>
                <a:gd name="connsiteX54" fmla="*/ 742623 w 942975"/>
                <a:gd name="connsiteY54" fmla="*/ 304836 h 809625"/>
                <a:gd name="connsiteX55" fmla="*/ 767630 w 942975"/>
                <a:gd name="connsiteY55" fmla="*/ 281610 h 809625"/>
                <a:gd name="connsiteX56" fmla="*/ 806249 w 942975"/>
                <a:gd name="connsiteY56" fmla="*/ 279987 h 809625"/>
                <a:gd name="connsiteX57" fmla="*/ 760825 w 942975"/>
                <a:gd name="connsiteY57" fmla="*/ 235235 h 809625"/>
                <a:gd name="connsiteX58" fmla="*/ 779026 w 942975"/>
                <a:gd name="connsiteY58" fmla="*/ 226055 h 809625"/>
                <a:gd name="connsiteX59" fmla="*/ 823976 w 942975"/>
                <a:gd name="connsiteY59" fmla="*/ 219012 h 8096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Lst>
              <a:rect l="l" t="t" r="r" b="b"/>
              <a:pathLst>
                <a:path w="942975" h="809625">
                  <a:moveTo>
                    <a:pt x="823976" y="219012"/>
                  </a:moveTo>
                  <a:lnTo>
                    <a:pt x="823976" y="219012"/>
                  </a:lnTo>
                  <a:lnTo>
                    <a:pt x="847875" y="245998"/>
                  </a:lnTo>
                  <a:lnTo>
                    <a:pt x="901372" y="257868"/>
                  </a:lnTo>
                  <a:lnTo>
                    <a:pt x="925272" y="253555"/>
                  </a:lnTo>
                  <a:lnTo>
                    <a:pt x="943790" y="240102"/>
                  </a:lnTo>
                  <a:lnTo>
                    <a:pt x="948063" y="292689"/>
                  </a:lnTo>
                  <a:lnTo>
                    <a:pt x="952020" y="325887"/>
                  </a:lnTo>
                  <a:lnTo>
                    <a:pt x="919574" y="367948"/>
                  </a:lnTo>
                  <a:lnTo>
                    <a:pt x="791372" y="490255"/>
                  </a:lnTo>
                  <a:lnTo>
                    <a:pt x="732968" y="514708"/>
                  </a:lnTo>
                  <a:lnTo>
                    <a:pt x="698781" y="522266"/>
                  </a:lnTo>
                  <a:lnTo>
                    <a:pt x="640694" y="530892"/>
                  </a:lnTo>
                  <a:lnTo>
                    <a:pt x="592896" y="577306"/>
                  </a:lnTo>
                  <a:lnTo>
                    <a:pt x="548579" y="622612"/>
                  </a:lnTo>
                  <a:lnTo>
                    <a:pt x="526895" y="662576"/>
                  </a:lnTo>
                  <a:lnTo>
                    <a:pt x="477988" y="718684"/>
                  </a:lnTo>
                  <a:lnTo>
                    <a:pt x="425600" y="774792"/>
                  </a:lnTo>
                  <a:lnTo>
                    <a:pt x="397110" y="814717"/>
                  </a:lnTo>
                  <a:lnTo>
                    <a:pt x="385714" y="799602"/>
                  </a:lnTo>
                  <a:lnTo>
                    <a:pt x="352793" y="789908"/>
                  </a:lnTo>
                  <a:lnTo>
                    <a:pt x="328894" y="773170"/>
                  </a:lnTo>
                  <a:lnTo>
                    <a:pt x="302620" y="732691"/>
                  </a:lnTo>
                  <a:lnTo>
                    <a:pt x="299297" y="712749"/>
                  </a:lnTo>
                  <a:lnTo>
                    <a:pt x="275397" y="711126"/>
                  </a:lnTo>
                  <a:lnTo>
                    <a:pt x="248649" y="706260"/>
                  </a:lnTo>
                  <a:lnTo>
                    <a:pt x="234404" y="705191"/>
                  </a:lnTo>
                  <a:lnTo>
                    <a:pt x="208764" y="696011"/>
                  </a:lnTo>
                  <a:lnTo>
                    <a:pt x="163339" y="689008"/>
                  </a:lnTo>
                  <a:lnTo>
                    <a:pt x="0" y="650666"/>
                  </a:lnTo>
                  <a:lnTo>
                    <a:pt x="31813" y="627993"/>
                  </a:lnTo>
                  <a:lnTo>
                    <a:pt x="56820" y="572993"/>
                  </a:lnTo>
                  <a:lnTo>
                    <a:pt x="71065" y="562705"/>
                  </a:lnTo>
                  <a:lnTo>
                    <a:pt x="102403" y="501730"/>
                  </a:lnTo>
                  <a:lnTo>
                    <a:pt x="118389" y="480719"/>
                  </a:lnTo>
                  <a:lnTo>
                    <a:pt x="127411" y="413808"/>
                  </a:lnTo>
                  <a:lnTo>
                    <a:pt x="60777" y="454762"/>
                  </a:lnTo>
                  <a:lnTo>
                    <a:pt x="52231" y="422988"/>
                  </a:lnTo>
                  <a:lnTo>
                    <a:pt x="52864" y="344207"/>
                  </a:lnTo>
                  <a:lnTo>
                    <a:pt x="56820" y="309664"/>
                  </a:lnTo>
                  <a:lnTo>
                    <a:pt x="133742" y="310772"/>
                  </a:lnTo>
                  <a:lnTo>
                    <a:pt x="137699" y="236858"/>
                  </a:lnTo>
                  <a:lnTo>
                    <a:pt x="141656" y="90612"/>
                  </a:lnTo>
                  <a:lnTo>
                    <a:pt x="133742" y="47482"/>
                  </a:lnTo>
                  <a:lnTo>
                    <a:pt x="129152" y="37748"/>
                  </a:lnTo>
                  <a:lnTo>
                    <a:pt x="126303" y="16698"/>
                  </a:lnTo>
                  <a:lnTo>
                    <a:pt x="155900" y="0"/>
                  </a:lnTo>
                  <a:lnTo>
                    <a:pt x="207023" y="33989"/>
                  </a:lnTo>
                  <a:lnTo>
                    <a:pt x="267958" y="82540"/>
                  </a:lnTo>
                  <a:lnTo>
                    <a:pt x="337441" y="135958"/>
                  </a:lnTo>
                  <a:lnTo>
                    <a:pt x="479729" y="234681"/>
                  </a:lnTo>
                  <a:lnTo>
                    <a:pt x="571212" y="259491"/>
                  </a:lnTo>
                  <a:lnTo>
                    <a:pt x="643069" y="276743"/>
                  </a:lnTo>
                  <a:lnTo>
                    <a:pt x="675356" y="284854"/>
                  </a:lnTo>
                  <a:lnTo>
                    <a:pt x="742623" y="304836"/>
                  </a:lnTo>
                  <a:lnTo>
                    <a:pt x="767630" y="281610"/>
                  </a:lnTo>
                  <a:lnTo>
                    <a:pt x="806249" y="279987"/>
                  </a:lnTo>
                  <a:lnTo>
                    <a:pt x="760825" y="235235"/>
                  </a:lnTo>
                  <a:lnTo>
                    <a:pt x="779026" y="226055"/>
                  </a:lnTo>
                  <a:lnTo>
                    <a:pt x="823976" y="219012"/>
                  </a:lnTo>
                </a:path>
              </a:pathLst>
            </a:custGeom>
            <a:solidFill>
              <a:srgbClr val="FFFFFF"/>
            </a:solidFill>
            <a:ln w="5132" cap="flat">
              <a:solidFill>
                <a:srgbClr val="030000"/>
              </a:solidFill>
              <a:prstDash val="solid"/>
              <a:miter/>
            </a:ln>
          </xdr:spPr>
          <xdr:txBody>
            <a:bodyPr rtlCol="0" anchor="ctr"/>
            <a:lstStyle/>
            <a:p>
              <a:endParaRPr lang="en-US"/>
            </a:p>
          </xdr:txBody>
        </xdr:sp>
        <xdr:sp macro="" textlink="">
          <xdr:nvSpPr>
            <xdr:cNvPr id="122" name="13_1">
              <a:extLst>
                <a:ext uri="{FF2B5EF4-FFF2-40B4-BE49-F238E27FC236}">
                  <a16:creationId xmlns:a16="http://schemas.microsoft.com/office/drawing/2014/main" id="{A60CFCF1-E413-8C41-8CF9-5AA9A7A1E376}"/>
                </a:ext>
              </a:extLst>
            </xdr:cNvPr>
            <xdr:cNvSpPr/>
          </xdr:nvSpPr>
          <xdr:spPr>
            <a:xfrm>
              <a:off x="4379170" y="4506908"/>
              <a:ext cx="700616" cy="767292"/>
            </a:xfrm>
            <a:custGeom>
              <a:avLst/>
              <a:gdLst>
                <a:gd name="connsiteX0" fmla="*/ 50648 w 704850"/>
                <a:gd name="connsiteY0" fmla="*/ 613827 h 733425"/>
                <a:gd name="connsiteX1" fmla="*/ 50648 w 704850"/>
                <a:gd name="connsiteY1" fmla="*/ 613827 h 733425"/>
                <a:gd name="connsiteX2" fmla="*/ 15353 w 704850"/>
                <a:gd name="connsiteY2" fmla="*/ 595745 h 733425"/>
                <a:gd name="connsiteX3" fmla="*/ 0 w 704850"/>
                <a:gd name="connsiteY3" fmla="*/ 575762 h 733425"/>
                <a:gd name="connsiteX4" fmla="*/ 2532 w 704850"/>
                <a:gd name="connsiteY4" fmla="*/ 555820 h 733425"/>
                <a:gd name="connsiteX5" fmla="*/ 15036 w 704850"/>
                <a:gd name="connsiteY5" fmla="*/ 500780 h 733425"/>
                <a:gd name="connsiteX6" fmla="*/ 12187 w 704850"/>
                <a:gd name="connsiteY6" fmla="*/ 479729 h 733425"/>
                <a:gd name="connsiteX7" fmla="*/ 12187 w 704850"/>
                <a:gd name="connsiteY7" fmla="*/ 449499 h 733425"/>
                <a:gd name="connsiteX8" fmla="*/ 15669 w 704850"/>
                <a:gd name="connsiteY8" fmla="*/ 426312 h 733425"/>
                <a:gd name="connsiteX9" fmla="*/ 33871 w 704850"/>
                <a:gd name="connsiteY9" fmla="*/ 391768 h 733425"/>
                <a:gd name="connsiteX10" fmla="*/ 62360 w 704850"/>
                <a:gd name="connsiteY10" fmla="*/ 376099 h 733425"/>
                <a:gd name="connsiteX11" fmla="*/ 77080 w 704850"/>
                <a:gd name="connsiteY11" fmla="*/ 374477 h 733425"/>
                <a:gd name="connsiteX12" fmla="*/ 136907 w 704850"/>
                <a:gd name="connsiteY12" fmla="*/ 358847 h 733425"/>
                <a:gd name="connsiteX13" fmla="*/ 177900 w 704850"/>
                <a:gd name="connsiteY13" fmla="*/ 340488 h 733425"/>
                <a:gd name="connsiteX14" fmla="*/ 205757 w 704850"/>
                <a:gd name="connsiteY14" fmla="*/ 322128 h 733425"/>
                <a:gd name="connsiteX15" fmla="*/ 242635 w 704850"/>
                <a:gd name="connsiteY15" fmla="*/ 301631 h 733425"/>
                <a:gd name="connsiteX16" fmla="*/ 284261 w 704850"/>
                <a:gd name="connsiteY16" fmla="*/ 286002 h 733425"/>
                <a:gd name="connsiteX17" fmla="*/ 309268 w 704850"/>
                <a:gd name="connsiteY17" fmla="*/ 281689 h 733425"/>
                <a:gd name="connsiteX18" fmla="*/ 323513 w 704850"/>
                <a:gd name="connsiteY18" fmla="*/ 274131 h 733425"/>
                <a:gd name="connsiteX19" fmla="*/ 357542 w 704850"/>
                <a:gd name="connsiteY19" fmla="*/ 263843 h 733425"/>
                <a:gd name="connsiteX20" fmla="*/ 381599 w 704850"/>
                <a:gd name="connsiteY20" fmla="*/ 250786 h 733425"/>
                <a:gd name="connsiteX21" fmla="*/ 372736 w 704850"/>
                <a:gd name="connsiteY21" fmla="*/ 227915 h 733425"/>
                <a:gd name="connsiteX22" fmla="*/ 347887 w 704850"/>
                <a:gd name="connsiteY22" fmla="*/ 229419 h 733425"/>
                <a:gd name="connsiteX23" fmla="*/ 325254 w 704850"/>
                <a:gd name="connsiteY23" fmla="*/ 174300 h 733425"/>
                <a:gd name="connsiteX24" fmla="*/ 300721 w 704850"/>
                <a:gd name="connsiteY24" fmla="*/ 152181 h 733425"/>
                <a:gd name="connsiteX25" fmla="*/ 296131 w 704850"/>
                <a:gd name="connsiteY25" fmla="*/ 135997 h 733425"/>
                <a:gd name="connsiteX26" fmla="*/ 287110 w 704850"/>
                <a:gd name="connsiteY26" fmla="*/ 114432 h 733425"/>
                <a:gd name="connsiteX27" fmla="*/ 287110 w 704850"/>
                <a:gd name="connsiteY27" fmla="*/ 75576 h 733425"/>
                <a:gd name="connsiteX28" fmla="*/ 292807 w 704850"/>
                <a:gd name="connsiteY28" fmla="*/ 69087 h 733425"/>
                <a:gd name="connsiteX29" fmla="*/ 293915 w 704850"/>
                <a:gd name="connsiteY29" fmla="*/ 38856 h 733425"/>
                <a:gd name="connsiteX30" fmla="*/ 303095 w 704850"/>
                <a:gd name="connsiteY30" fmla="*/ 36720 h 733425"/>
                <a:gd name="connsiteX31" fmla="*/ 309901 w 704850"/>
                <a:gd name="connsiteY31" fmla="*/ 0 h 733425"/>
                <a:gd name="connsiteX32" fmla="*/ 473240 w 704850"/>
                <a:gd name="connsiteY32" fmla="*/ 38342 h 733425"/>
                <a:gd name="connsiteX33" fmla="*/ 518665 w 704850"/>
                <a:gd name="connsiteY33" fmla="*/ 45346 h 733425"/>
                <a:gd name="connsiteX34" fmla="*/ 544305 w 704850"/>
                <a:gd name="connsiteY34" fmla="*/ 54525 h 733425"/>
                <a:gd name="connsiteX35" fmla="*/ 558550 w 704850"/>
                <a:gd name="connsiteY35" fmla="*/ 55594 h 733425"/>
                <a:gd name="connsiteX36" fmla="*/ 585298 w 704850"/>
                <a:gd name="connsiteY36" fmla="*/ 60461 h 733425"/>
                <a:gd name="connsiteX37" fmla="*/ 609198 w 704850"/>
                <a:gd name="connsiteY37" fmla="*/ 62083 h 733425"/>
                <a:gd name="connsiteX38" fmla="*/ 612522 w 704850"/>
                <a:gd name="connsiteY38" fmla="*/ 82026 h 733425"/>
                <a:gd name="connsiteX39" fmla="*/ 638795 w 704850"/>
                <a:gd name="connsiteY39" fmla="*/ 122504 h 733425"/>
                <a:gd name="connsiteX40" fmla="*/ 662695 w 704850"/>
                <a:gd name="connsiteY40" fmla="*/ 139242 h 733425"/>
                <a:gd name="connsiteX41" fmla="*/ 695616 w 704850"/>
                <a:gd name="connsiteY41" fmla="*/ 148936 h 733425"/>
                <a:gd name="connsiteX42" fmla="*/ 707011 w 704850"/>
                <a:gd name="connsiteY42" fmla="*/ 164051 h 733425"/>
                <a:gd name="connsiteX43" fmla="*/ 689918 w 704850"/>
                <a:gd name="connsiteY43" fmla="*/ 180235 h 733425"/>
                <a:gd name="connsiteX44" fmla="*/ 663328 w 704850"/>
                <a:gd name="connsiteY44" fmla="*/ 206667 h 733425"/>
                <a:gd name="connsiteX45" fmla="*/ 647342 w 704850"/>
                <a:gd name="connsiteY45" fmla="*/ 225027 h 733425"/>
                <a:gd name="connsiteX46" fmla="*/ 634205 w 704850"/>
                <a:gd name="connsiteY46" fmla="*/ 236897 h 733425"/>
                <a:gd name="connsiteX47" fmla="*/ 617745 w 704850"/>
                <a:gd name="connsiteY47" fmla="*/ 266574 h 733425"/>
                <a:gd name="connsiteX48" fmla="*/ 617745 w 704850"/>
                <a:gd name="connsiteY48" fmla="*/ 309743 h 733425"/>
                <a:gd name="connsiteX49" fmla="*/ 621385 w 704850"/>
                <a:gd name="connsiteY49" fmla="*/ 327153 h 733425"/>
                <a:gd name="connsiteX50" fmla="*/ 624550 w 704850"/>
                <a:gd name="connsiteY50" fmla="*/ 342664 h 733425"/>
                <a:gd name="connsiteX51" fmla="*/ 624550 w 704850"/>
                <a:gd name="connsiteY51" fmla="*/ 405261 h 733425"/>
                <a:gd name="connsiteX52" fmla="*/ 600651 w 704850"/>
                <a:gd name="connsiteY52" fmla="*/ 466237 h 733425"/>
                <a:gd name="connsiteX53" fmla="*/ 580234 w 704850"/>
                <a:gd name="connsiteY53" fmla="*/ 489463 h 733425"/>
                <a:gd name="connsiteX54" fmla="*/ 543197 w 704850"/>
                <a:gd name="connsiteY54" fmla="*/ 521830 h 733425"/>
                <a:gd name="connsiteX55" fmla="*/ 516924 w 704850"/>
                <a:gd name="connsiteY55" fmla="*/ 543395 h 733425"/>
                <a:gd name="connsiteX56" fmla="*/ 469758 w 704850"/>
                <a:gd name="connsiteY56" fmla="*/ 610860 h 733425"/>
                <a:gd name="connsiteX57" fmla="*/ 387297 w 704850"/>
                <a:gd name="connsiteY57" fmla="*/ 737677 h 733425"/>
                <a:gd name="connsiteX58" fmla="*/ 354851 w 704850"/>
                <a:gd name="connsiteY58" fmla="*/ 723116 h 733425"/>
                <a:gd name="connsiteX59" fmla="*/ 366722 w 704850"/>
                <a:gd name="connsiteY59" fmla="*/ 700997 h 733425"/>
                <a:gd name="connsiteX60" fmla="*/ 358808 w 704850"/>
                <a:gd name="connsiteY60" fmla="*/ 698306 h 733425"/>
                <a:gd name="connsiteX61" fmla="*/ 315599 w 704850"/>
                <a:gd name="connsiteY61" fmla="*/ 694508 h 733425"/>
                <a:gd name="connsiteX62" fmla="*/ 303570 w 704850"/>
                <a:gd name="connsiteY62" fmla="*/ 691817 h 733425"/>
                <a:gd name="connsiteX63" fmla="*/ 296764 w 704850"/>
                <a:gd name="connsiteY63" fmla="*/ 691263 h 733425"/>
                <a:gd name="connsiteX64" fmla="*/ 258145 w 704850"/>
                <a:gd name="connsiteY64" fmla="*/ 672389 h 733425"/>
                <a:gd name="connsiteX65" fmla="*/ 211929 w 704850"/>
                <a:gd name="connsiteY65" fmla="*/ 649716 h 733425"/>
                <a:gd name="connsiteX66" fmla="*/ 175526 w 704850"/>
                <a:gd name="connsiteY66" fmla="*/ 637292 h 733425"/>
                <a:gd name="connsiteX67" fmla="*/ 136907 w 704850"/>
                <a:gd name="connsiteY67" fmla="*/ 626489 h 733425"/>
                <a:gd name="connsiteX68" fmla="*/ 136907 w 704850"/>
                <a:gd name="connsiteY68" fmla="*/ 595191 h 733425"/>
                <a:gd name="connsiteX69" fmla="*/ 133425 w 704850"/>
                <a:gd name="connsiteY69" fmla="*/ 580669 h 733425"/>
                <a:gd name="connsiteX70" fmla="*/ 128360 w 704850"/>
                <a:gd name="connsiteY70" fmla="*/ 579561 h 733425"/>
                <a:gd name="connsiteX71" fmla="*/ 123771 w 704850"/>
                <a:gd name="connsiteY71" fmla="*/ 589809 h 733425"/>
                <a:gd name="connsiteX72" fmla="*/ 118706 w 704850"/>
                <a:gd name="connsiteY72" fmla="*/ 594676 h 733425"/>
                <a:gd name="connsiteX73" fmla="*/ 50648 w 704850"/>
                <a:gd name="connsiteY73" fmla="*/ 613827 h 7334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Lst>
              <a:rect l="l" t="t" r="r" b="b"/>
              <a:pathLst>
                <a:path w="704850" h="733425">
                  <a:moveTo>
                    <a:pt x="50648" y="613827"/>
                  </a:moveTo>
                  <a:lnTo>
                    <a:pt x="50648" y="613827"/>
                  </a:lnTo>
                  <a:lnTo>
                    <a:pt x="15353" y="595745"/>
                  </a:lnTo>
                  <a:lnTo>
                    <a:pt x="0" y="575762"/>
                  </a:lnTo>
                  <a:lnTo>
                    <a:pt x="2532" y="555820"/>
                  </a:lnTo>
                  <a:lnTo>
                    <a:pt x="15036" y="500780"/>
                  </a:lnTo>
                  <a:lnTo>
                    <a:pt x="12187" y="479729"/>
                  </a:lnTo>
                  <a:lnTo>
                    <a:pt x="12187" y="449499"/>
                  </a:lnTo>
                  <a:lnTo>
                    <a:pt x="15669" y="426312"/>
                  </a:lnTo>
                  <a:lnTo>
                    <a:pt x="33871" y="391768"/>
                  </a:lnTo>
                  <a:lnTo>
                    <a:pt x="62360" y="376099"/>
                  </a:lnTo>
                  <a:lnTo>
                    <a:pt x="77080" y="374477"/>
                  </a:lnTo>
                  <a:lnTo>
                    <a:pt x="136907" y="358847"/>
                  </a:lnTo>
                  <a:lnTo>
                    <a:pt x="177900" y="340488"/>
                  </a:lnTo>
                  <a:lnTo>
                    <a:pt x="205757" y="322128"/>
                  </a:lnTo>
                  <a:lnTo>
                    <a:pt x="242635" y="301631"/>
                  </a:lnTo>
                  <a:lnTo>
                    <a:pt x="284261" y="286002"/>
                  </a:lnTo>
                  <a:lnTo>
                    <a:pt x="309268" y="281689"/>
                  </a:lnTo>
                  <a:lnTo>
                    <a:pt x="323513" y="274131"/>
                  </a:lnTo>
                  <a:lnTo>
                    <a:pt x="357542" y="263843"/>
                  </a:lnTo>
                  <a:lnTo>
                    <a:pt x="381599" y="250786"/>
                  </a:lnTo>
                  <a:lnTo>
                    <a:pt x="372736" y="227915"/>
                  </a:lnTo>
                  <a:lnTo>
                    <a:pt x="347887" y="229419"/>
                  </a:lnTo>
                  <a:lnTo>
                    <a:pt x="325254" y="174300"/>
                  </a:lnTo>
                  <a:lnTo>
                    <a:pt x="300721" y="152181"/>
                  </a:lnTo>
                  <a:lnTo>
                    <a:pt x="296131" y="135997"/>
                  </a:lnTo>
                  <a:lnTo>
                    <a:pt x="287110" y="114432"/>
                  </a:lnTo>
                  <a:lnTo>
                    <a:pt x="287110" y="75576"/>
                  </a:lnTo>
                  <a:lnTo>
                    <a:pt x="292807" y="69087"/>
                  </a:lnTo>
                  <a:lnTo>
                    <a:pt x="293915" y="38856"/>
                  </a:lnTo>
                  <a:lnTo>
                    <a:pt x="303095" y="36720"/>
                  </a:lnTo>
                  <a:lnTo>
                    <a:pt x="309901" y="0"/>
                  </a:lnTo>
                  <a:lnTo>
                    <a:pt x="473240" y="38342"/>
                  </a:lnTo>
                  <a:lnTo>
                    <a:pt x="518665" y="45346"/>
                  </a:lnTo>
                  <a:lnTo>
                    <a:pt x="544305" y="54525"/>
                  </a:lnTo>
                  <a:lnTo>
                    <a:pt x="558550" y="55594"/>
                  </a:lnTo>
                  <a:lnTo>
                    <a:pt x="585298" y="60461"/>
                  </a:lnTo>
                  <a:lnTo>
                    <a:pt x="609198" y="62083"/>
                  </a:lnTo>
                  <a:lnTo>
                    <a:pt x="612522" y="82026"/>
                  </a:lnTo>
                  <a:lnTo>
                    <a:pt x="638795" y="122504"/>
                  </a:lnTo>
                  <a:lnTo>
                    <a:pt x="662695" y="139242"/>
                  </a:lnTo>
                  <a:lnTo>
                    <a:pt x="695616" y="148936"/>
                  </a:lnTo>
                  <a:lnTo>
                    <a:pt x="707011" y="164051"/>
                  </a:lnTo>
                  <a:lnTo>
                    <a:pt x="689918" y="180235"/>
                  </a:lnTo>
                  <a:lnTo>
                    <a:pt x="663328" y="206667"/>
                  </a:lnTo>
                  <a:lnTo>
                    <a:pt x="647342" y="225027"/>
                  </a:lnTo>
                  <a:lnTo>
                    <a:pt x="634205" y="236897"/>
                  </a:lnTo>
                  <a:lnTo>
                    <a:pt x="617745" y="266574"/>
                  </a:lnTo>
                  <a:lnTo>
                    <a:pt x="617745" y="309743"/>
                  </a:lnTo>
                  <a:lnTo>
                    <a:pt x="621385" y="327153"/>
                  </a:lnTo>
                  <a:lnTo>
                    <a:pt x="624550" y="342664"/>
                  </a:lnTo>
                  <a:lnTo>
                    <a:pt x="624550" y="405261"/>
                  </a:lnTo>
                  <a:lnTo>
                    <a:pt x="600651" y="466237"/>
                  </a:lnTo>
                  <a:lnTo>
                    <a:pt x="580234" y="489463"/>
                  </a:lnTo>
                  <a:lnTo>
                    <a:pt x="543197" y="521830"/>
                  </a:lnTo>
                  <a:lnTo>
                    <a:pt x="516924" y="543395"/>
                  </a:lnTo>
                  <a:lnTo>
                    <a:pt x="469758" y="610860"/>
                  </a:lnTo>
                  <a:lnTo>
                    <a:pt x="387297" y="737677"/>
                  </a:lnTo>
                  <a:lnTo>
                    <a:pt x="354851" y="723116"/>
                  </a:lnTo>
                  <a:lnTo>
                    <a:pt x="366722" y="700997"/>
                  </a:lnTo>
                  <a:lnTo>
                    <a:pt x="358808" y="698306"/>
                  </a:lnTo>
                  <a:lnTo>
                    <a:pt x="315599" y="694508"/>
                  </a:lnTo>
                  <a:lnTo>
                    <a:pt x="303570" y="691817"/>
                  </a:lnTo>
                  <a:lnTo>
                    <a:pt x="296764" y="691263"/>
                  </a:lnTo>
                  <a:lnTo>
                    <a:pt x="258145" y="672389"/>
                  </a:lnTo>
                  <a:lnTo>
                    <a:pt x="211929" y="649716"/>
                  </a:lnTo>
                  <a:lnTo>
                    <a:pt x="175526" y="637292"/>
                  </a:lnTo>
                  <a:lnTo>
                    <a:pt x="136907" y="626489"/>
                  </a:lnTo>
                  <a:lnTo>
                    <a:pt x="136907" y="595191"/>
                  </a:lnTo>
                  <a:lnTo>
                    <a:pt x="133425" y="580669"/>
                  </a:lnTo>
                  <a:lnTo>
                    <a:pt x="128360" y="579561"/>
                  </a:lnTo>
                  <a:lnTo>
                    <a:pt x="123771" y="589809"/>
                  </a:lnTo>
                  <a:lnTo>
                    <a:pt x="118706" y="594676"/>
                  </a:lnTo>
                  <a:lnTo>
                    <a:pt x="50648" y="613827"/>
                  </a:lnTo>
                </a:path>
              </a:pathLst>
            </a:custGeom>
            <a:solidFill>
              <a:srgbClr val="FFFFFF"/>
            </a:solidFill>
            <a:ln w="5132" cap="flat">
              <a:solidFill>
                <a:srgbClr val="030000"/>
              </a:solidFill>
              <a:prstDash val="solid"/>
              <a:miter/>
            </a:ln>
          </xdr:spPr>
          <xdr:txBody>
            <a:bodyPr rtlCol="0" anchor="ctr"/>
            <a:lstStyle/>
            <a:p>
              <a:endParaRPr lang="en-US"/>
            </a:p>
          </xdr:txBody>
        </xdr:sp>
        <xdr:sp macro="" textlink="">
          <xdr:nvSpPr>
            <xdr:cNvPr id="123" name="12_1">
              <a:extLst>
                <a:ext uri="{FF2B5EF4-FFF2-40B4-BE49-F238E27FC236}">
                  <a16:creationId xmlns:a16="http://schemas.microsoft.com/office/drawing/2014/main" id="{A8202853-EC4B-5042-83D0-765A5AB8CC79}"/>
                </a:ext>
              </a:extLst>
            </xdr:cNvPr>
            <xdr:cNvSpPr/>
          </xdr:nvSpPr>
          <xdr:spPr>
            <a:xfrm>
              <a:off x="4073384" y="4669178"/>
              <a:ext cx="628650" cy="512233"/>
            </a:xfrm>
            <a:custGeom>
              <a:avLst/>
              <a:gdLst>
                <a:gd name="connsiteX0" fmla="*/ 0 w 628650"/>
                <a:gd name="connsiteY0" fmla="*/ 451675 h 495300"/>
                <a:gd name="connsiteX1" fmla="*/ 0 w 628650"/>
                <a:gd name="connsiteY1" fmla="*/ 451675 h 495300"/>
                <a:gd name="connsiteX2" fmla="*/ 7281 w 628650"/>
                <a:gd name="connsiteY2" fmla="*/ 409020 h 495300"/>
                <a:gd name="connsiteX3" fmla="*/ 7914 w 628650"/>
                <a:gd name="connsiteY3" fmla="*/ 378790 h 495300"/>
                <a:gd name="connsiteX4" fmla="*/ 11396 w 628650"/>
                <a:gd name="connsiteY4" fmla="*/ 359401 h 495300"/>
                <a:gd name="connsiteX5" fmla="*/ 10130 w 628650"/>
                <a:gd name="connsiteY5" fmla="*/ 298387 h 495300"/>
                <a:gd name="connsiteX6" fmla="*/ 18202 w 628650"/>
                <a:gd name="connsiteY6" fmla="*/ 214224 h 495300"/>
                <a:gd name="connsiteX7" fmla="*/ 6806 w 628650"/>
                <a:gd name="connsiteY7" fmla="*/ 214224 h 495300"/>
                <a:gd name="connsiteX8" fmla="*/ 11396 w 628650"/>
                <a:gd name="connsiteY8" fmla="*/ 183994 h 495300"/>
                <a:gd name="connsiteX9" fmla="*/ 16461 w 628650"/>
                <a:gd name="connsiteY9" fmla="*/ 161875 h 495300"/>
                <a:gd name="connsiteX10" fmla="*/ 17094 w 628650"/>
                <a:gd name="connsiteY10" fmla="*/ 158630 h 495300"/>
                <a:gd name="connsiteX11" fmla="*/ 21525 w 628650"/>
                <a:gd name="connsiteY11" fmla="*/ 132199 h 495300"/>
                <a:gd name="connsiteX12" fmla="*/ 25007 w 628650"/>
                <a:gd name="connsiteY12" fmla="*/ 120328 h 495300"/>
                <a:gd name="connsiteX13" fmla="*/ 27856 w 628650"/>
                <a:gd name="connsiteY13" fmla="*/ 112770 h 495300"/>
                <a:gd name="connsiteX14" fmla="*/ 27856 w 628650"/>
                <a:gd name="connsiteY14" fmla="*/ 91206 h 495300"/>
                <a:gd name="connsiteX15" fmla="*/ 75655 w 628650"/>
                <a:gd name="connsiteY15" fmla="*/ 89029 h 495300"/>
                <a:gd name="connsiteX16" fmla="*/ 117756 w 628650"/>
                <a:gd name="connsiteY16" fmla="*/ 84162 h 495300"/>
                <a:gd name="connsiteX17" fmla="*/ 156375 w 628650"/>
                <a:gd name="connsiteY17" fmla="*/ 83094 h 495300"/>
                <a:gd name="connsiteX18" fmla="*/ 197368 w 628650"/>
                <a:gd name="connsiteY18" fmla="*/ 62597 h 495300"/>
                <a:gd name="connsiteX19" fmla="*/ 233771 w 628650"/>
                <a:gd name="connsiteY19" fmla="*/ 55040 h 495300"/>
                <a:gd name="connsiteX20" fmla="*/ 268592 w 628650"/>
                <a:gd name="connsiteY20" fmla="*/ 30191 h 495300"/>
                <a:gd name="connsiteX21" fmla="*/ 322088 w 628650"/>
                <a:gd name="connsiteY21" fmla="*/ 24295 h 495300"/>
                <a:gd name="connsiteX22" fmla="*/ 344721 w 628650"/>
                <a:gd name="connsiteY22" fmla="*/ 21565 h 495300"/>
                <a:gd name="connsiteX23" fmla="*/ 369887 w 628650"/>
                <a:gd name="connsiteY23" fmla="*/ 14007 h 495300"/>
                <a:gd name="connsiteX24" fmla="*/ 438736 w 628650"/>
                <a:gd name="connsiteY24" fmla="*/ 1622 h 495300"/>
                <a:gd name="connsiteX25" fmla="*/ 460262 w 628650"/>
                <a:gd name="connsiteY25" fmla="*/ 0 h 495300"/>
                <a:gd name="connsiteX26" fmla="*/ 486535 w 628650"/>
                <a:gd name="connsiteY26" fmla="*/ 0 h 495300"/>
                <a:gd name="connsiteX27" fmla="*/ 499514 w 628650"/>
                <a:gd name="connsiteY27" fmla="*/ 2691 h 495300"/>
                <a:gd name="connsiteX28" fmla="*/ 525154 w 628650"/>
                <a:gd name="connsiteY28" fmla="*/ 23741 h 495300"/>
                <a:gd name="connsiteX29" fmla="*/ 558234 w 628650"/>
                <a:gd name="connsiteY29" fmla="*/ 58245 h 495300"/>
                <a:gd name="connsiteX30" fmla="*/ 577385 w 628650"/>
                <a:gd name="connsiteY30" fmla="*/ 81788 h 495300"/>
                <a:gd name="connsiteX31" fmla="*/ 609356 w 628650"/>
                <a:gd name="connsiteY31" fmla="*/ 116015 h 495300"/>
                <a:gd name="connsiteX32" fmla="*/ 629299 w 628650"/>
                <a:gd name="connsiteY32" fmla="*/ 120328 h 495300"/>
                <a:gd name="connsiteX33" fmla="*/ 615054 w 628650"/>
                <a:gd name="connsiteY33" fmla="*/ 127886 h 495300"/>
                <a:gd name="connsiteX34" fmla="*/ 590047 w 628650"/>
                <a:gd name="connsiteY34" fmla="*/ 132199 h 495300"/>
                <a:gd name="connsiteX35" fmla="*/ 548420 w 628650"/>
                <a:gd name="connsiteY35" fmla="*/ 147828 h 495300"/>
                <a:gd name="connsiteX36" fmla="*/ 511543 w 628650"/>
                <a:gd name="connsiteY36" fmla="*/ 168325 h 495300"/>
                <a:gd name="connsiteX37" fmla="*/ 483686 w 628650"/>
                <a:gd name="connsiteY37" fmla="*/ 186685 h 495300"/>
                <a:gd name="connsiteX38" fmla="*/ 442693 w 628650"/>
                <a:gd name="connsiteY38" fmla="*/ 205044 h 495300"/>
                <a:gd name="connsiteX39" fmla="*/ 382866 w 628650"/>
                <a:gd name="connsiteY39" fmla="*/ 220674 h 495300"/>
                <a:gd name="connsiteX40" fmla="*/ 368146 w 628650"/>
                <a:gd name="connsiteY40" fmla="*/ 222296 h 495300"/>
                <a:gd name="connsiteX41" fmla="*/ 339657 w 628650"/>
                <a:gd name="connsiteY41" fmla="*/ 237965 h 495300"/>
                <a:gd name="connsiteX42" fmla="*/ 321455 w 628650"/>
                <a:gd name="connsiteY42" fmla="*/ 272509 h 495300"/>
                <a:gd name="connsiteX43" fmla="*/ 317973 w 628650"/>
                <a:gd name="connsiteY43" fmla="*/ 295696 h 495300"/>
                <a:gd name="connsiteX44" fmla="*/ 317973 w 628650"/>
                <a:gd name="connsiteY44" fmla="*/ 325926 h 495300"/>
                <a:gd name="connsiteX45" fmla="*/ 320822 w 628650"/>
                <a:gd name="connsiteY45" fmla="*/ 346977 h 495300"/>
                <a:gd name="connsiteX46" fmla="*/ 308318 w 628650"/>
                <a:gd name="connsiteY46" fmla="*/ 402017 h 495300"/>
                <a:gd name="connsiteX47" fmla="*/ 305786 w 628650"/>
                <a:gd name="connsiteY47" fmla="*/ 421959 h 495300"/>
                <a:gd name="connsiteX48" fmla="*/ 321139 w 628650"/>
                <a:gd name="connsiteY48" fmla="*/ 441941 h 495300"/>
                <a:gd name="connsiteX49" fmla="*/ 356434 w 628650"/>
                <a:gd name="connsiteY49" fmla="*/ 460024 h 495300"/>
                <a:gd name="connsiteX50" fmla="*/ 312592 w 628650"/>
                <a:gd name="connsiteY50" fmla="*/ 476208 h 495300"/>
                <a:gd name="connsiteX51" fmla="*/ 272548 w 628650"/>
                <a:gd name="connsiteY51" fmla="*/ 482420 h 495300"/>
                <a:gd name="connsiteX52" fmla="*/ 221901 w 628650"/>
                <a:gd name="connsiteY52" fmla="*/ 484596 h 495300"/>
                <a:gd name="connsiteX53" fmla="*/ 186605 w 628650"/>
                <a:gd name="connsiteY53" fmla="*/ 487287 h 495300"/>
                <a:gd name="connsiteX54" fmla="*/ 180908 w 628650"/>
                <a:gd name="connsiteY54" fmla="*/ 495913 h 495300"/>
                <a:gd name="connsiteX55" fmla="*/ 155900 w 628650"/>
                <a:gd name="connsiteY55" fmla="*/ 500226 h 495300"/>
                <a:gd name="connsiteX56" fmla="*/ 141022 w 628650"/>
                <a:gd name="connsiteY56" fmla="*/ 495913 h 495300"/>
                <a:gd name="connsiteX57" fmla="*/ 110950 w 628650"/>
                <a:gd name="connsiteY57" fmla="*/ 484596 h 495300"/>
                <a:gd name="connsiteX58" fmla="*/ 96706 w 628650"/>
                <a:gd name="connsiteY58" fmla="*/ 489424 h 495300"/>
                <a:gd name="connsiteX59" fmla="*/ 80720 w 628650"/>
                <a:gd name="connsiteY59" fmla="*/ 490532 h 495300"/>
                <a:gd name="connsiteX60" fmla="*/ 68216 w 628650"/>
                <a:gd name="connsiteY60" fmla="*/ 471064 h 495300"/>
                <a:gd name="connsiteX61" fmla="*/ 0 w 628650"/>
                <a:gd name="connsiteY61" fmla="*/ 451675 h 4953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Lst>
              <a:rect l="l" t="t" r="r" b="b"/>
              <a:pathLst>
                <a:path w="628650" h="495300">
                  <a:moveTo>
                    <a:pt x="0" y="451675"/>
                  </a:moveTo>
                  <a:lnTo>
                    <a:pt x="0" y="451675"/>
                  </a:lnTo>
                  <a:lnTo>
                    <a:pt x="7281" y="409020"/>
                  </a:lnTo>
                  <a:lnTo>
                    <a:pt x="7914" y="378790"/>
                  </a:lnTo>
                  <a:lnTo>
                    <a:pt x="11396" y="359401"/>
                  </a:lnTo>
                  <a:lnTo>
                    <a:pt x="10130" y="298387"/>
                  </a:lnTo>
                  <a:lnTo>
                    <a:pt x="18202" y="214224"/>
                  </a:lnTo>
                  <a:lnTo>
                    <a:pt x="6806" y="214224"/>
                  </a:lnTo>
                  <a:lnTo>
                    <a:pt x="11396" y="183994"/>
                  </a:lnTo>
                  <a:lnTo>
                    <a:pt x="16461" y="161875"/>
                  </a:lnTo>
                  <a:lnTo>
                    <a:pt x="17094" y="158630"/>
                  </a:lnTo>
                  <a:lnTo>
                    <a:pt x="21525" y="132199"/>
                  </a:lnTo>
                  <a:lnTo>
                    <a:pt x="25007" y="120328"/>
                  </a:lnTo>
                  <a:lnTo>
                    <a:pt x="27856" y="112770"/>
                  </a:lnTo>
                  <a:lnTo>
                    <a:pt x="27856" y="91206"/>
                  </a:lnTo>
                  <a:lnTo>
                    <a:pt x="75655" y="89029"/>
                  </a:lnTo>
                  <a:lnTo>
                    <a:pt x="117756" y="84162"/>
                  </a:lnTo>
                  <a:lnTo>
                    <a:pt x="156375" y="83094"/>
                  </a:lnTo>
                  <a:lnTo>
                    <a:pt x="197368" y="62597"/>
                  </a:lnTo>
                  <a:lnTo>
                    <a:pt x="233771" y="55040"/>
                  </a:lnTo>
                  <a:lnTo>
                    <a:pt x="268592" y="30191"/>
                  </a:lnTo>
                  <a:lnTo>
                    <a:pt x="322088" y="24295"/>
                  </a:lnTo>
                  <a:lnTo>
                    <a:pt x="344721" y="21565"/>
                  </a:lnTo>
                  <a:lnTo>
                    <a:pt x="369887" y="14007"/>
                  </a:lnTo>
                  <a:lnTo>
                    <a:pt x="438736" y="1622"/>
                  </a:lnTo>
                  <a:lnTo>
                    <a:pt x="460262" y="0"/>
                  </a:lnTo>
                  <a:lnTo>
                    <a:pt x="486535" y="0"/>
                  </a:lnTo>
                  <a:lnTo>
                    <a:pt x="499514" y="2691"/>
                  </a:lnTo>
                  <a:lnTo>
                    <a:pt x="525154" y="23741"/>
                  </a:lnTo>
                  <a:lnTo>
                    <a:pt x="558234" y="58245"/>
                  </a:lnTo>
                  <a:lnTo>
                    <a:pt x="577385" y="81788"/>
                  </a:lnTo>
                  <a:lnTo>
                    <a:pt x="609356" y="116015"/>
                  </a:lnTo>
                  <a:lnTo>
                    <a:pt x="629299" y="120328"/>
                  </a:lnTo>
                  <a:lnTo>
                    <a:pt x="615054" y="127886"/>
                  </a:lnTo>
                  <a:lnTo>
                    <a:pt x="590047" y="132199"/>
                  </a:lnTo>
                  <a:lnTo>
                    <a:pt x="548420" y="147828"/>
                  </a:lnTo>
                  <a:lnTo>
                    <a:pt x="511543" y="168325"/>
                  </a:lnTo>
                  <a:lnTo>
                    <a:pt x="483686" y="186685"/>
                  </a:lnTo>
                  <a:lnTo>
                    <a:pt x="442693" y="205044"/>
                  </a:lnTo>
                  <a:lnTo>
                    <a:pt x="382866" y="220674"/>
                  </a:lnTo>
                  <a:lnTo>
                    <a:pt x="368146" y="222296"/>
                  </a:lnTo>
                  <a:lnTo>
                    <a:pt x="339657" y="237965"/>
                  </a:lnTo>
                  <a:lnTo>
                    <a:pt x="321455" y="272509"/>
                  </a:lnTo>
                  <a:lnTo>
                    <a:pt x="317973" y="295696"/>
                  </a:lnTo>
                  <a:lnTo>
                    <a:pt x="317973" y="325926"/>
                  </a:lnTo>
                  <a:lnTo>
                    <a:pt x="320822" y="346977"/>
                  </a:lnTo>
                  <a:lnTo>
                    <a:pt x="308318" y="402017"/>
                  </a:lnTo>
                  <a:lnTo>
                    <a:pt x="305786" y="421959"/>
                  </a:lnTo>
                  <a:lnTo>
                    <a:pt x="321139" y="441941"/>
                  </a:lnTo>
                  <a:lnTo>
                    <a:pt x="356434" y="460024"/>
                  </a:lnTo>
                  <a:lnTo>
                    <a:pt x="312592" y="476208"/>
                  </a:lnTo>
                  <a:lnTo>
                    <a:pt x="272548" y="482420"/>
                  </a:lnTo>
                  <a:lnTo>
                    <a:pt x="221901" y="484596"/>
                  </a:lnTo>
                  <a:lnTo>
                    <a:pt x="186605" y="487287"/>
                  </a:lnTo>
                  <a:lnTo>
                    <a:pt x="180908" y="495913"/>
                  </a:lnTo>
                  <a:lnTo>
                    <a:pt x="155900" y="500226"/>
                  </a:lnTo>
                  <a:lnTo>
                    <a:pt x="141022" y="495913"/>
                  </a:lnTo>
                  <a:lnTo>
                    <a:pt x="110950" y="484596"/>
                  </a:lnTo>
                  <a:lnTo>
                    <a:pt x="96706" y="489424"/>
                  </a:lnTo>
                  <a:lnTo>
                    <a:pt x="80720" y="490532"/>
                  </a:lnTo>
                  <a:lnTo>
                    <a:pt x="68216" y="471064"/>
                  </a:lnTo>
                  <a:lnTo>
                    <a:pt x="0" y="451675"/>
                  </a:lnTo>
                </a:path>
              </a:pathLst>
            </a:custGeom>
            <a:solidFill>
              <a:srgbClr val="C6E0B4"/>
            </a:solidFill>
            <a:ln w="5132" cap="flat">
              <a:solidFill>
                <a:srgbClr val="030000"/>
              </a:solidFill>
              <a:prstDash val="solid"/>
              <a:miter/>
            </a:ln>
          </xdr:spPr>
          <xdr:txBody>
            <a:bodyPr rtlCol="0" anchor="ctr"/>
            <a:lstStyle/>
            <a:p>
              <a:endParaRPr lang="en-US"/>
            </a:p>
          </xdr:txBody>
        </xdr:sp>
        <xdr:sp macro="" textlink="">
          <xdr:nvSpPr>
            <xdr:cNvPr id="124" name="11_1">
              <a:extLst>
                <a:ext uri="{FF2B5EF4-FFF2-40B4-BE49-F238E27FC236}">
                  <a16:creationId xmlns:a16="http://schemas.microsoft.com/office/drawing/2014/main" id="{F1E1DDA8-D2E1-E343-85FC-6B8CBC6FEB7C}"/>
                </a:ext>
              </a:extLst>
            </xdr:cNvPr>
            <xdr:cNvSpPr/>
          </xdr:nvSpPr>
          <xdr:spPr>
            <a:xfrm>
              <a:off x="3879616" y="4227754"/>
              <a:ext cx="872067" cy="558800"/>
            </a:xfrm>
            <a:custGeom>
              <a:avLst/>
              <a:gdLst>
                <a:gd name="connsiteX0" fmla="*/ 315757 w 876300"/>
                <a:gd name="connsiteY0" fmla="*/ 500186 h 533400"/>
                <a:gd name="connsiteX1" fmla="*/ 315757 w 876300"/>
                <a:gd name="connsiteY1" fmla="*/ 500186 h 533400"/>
                <a:gd name="connsiteX2" fmla="*/ 315757 w 876300"/>
                <a:gd name="connsiteY2" fmla="*/ 463506 h 533400"/>
                <a:gd name="connsiteX3" fmla="*/ 310059 w 876300"/>
                <a:gd name="connsiteY3" fmla="*/ 447323 h 533400"/>
                <a:gd name="connsiteX4" fmla="*/ 311800 w 876300"/>
                <a:gd name="connsiteY4" fmla="*/ 432762 h 533400"/>
                <a:gd name="connsiteX5" fmla="*/ 312908 w 876300"/>
                <a:gd name="connsiteY5" fmla="*/ 350736 h 533400"/>
                <a:gd name="connsiteX6" fmla="*/ 245800 w 876300"/>
                <a:gd name="connsiteY6" fmla="*/ 350736 h 533400"/>
                <a:gd name="connsiteX7" fmla="*/ 207023 w 876300"/>
                <a:gd name="connsiteY7" fmla="*/ 363675 h 533400"/>
                <a:gd name="connsiteX8" fmla="*/ 164447 w 876300"/>
                <a:gd name="connsiteY8" fmla="*/ 368186 h 533400"/>
                <a:gd name="connsiteX9" fmla="*/ 125195 w 876300"/>
                <a:gd name="connsiteY9" fmla="*/ 376653 h 533400"/>
                <a:gd name="connsiteX10" fmla="*/ 119972 w 876300"/>
                <a:gd name="connsiteY10" fmla="*/ 380412 h 533400"/>
                <a:gd name="connsiteX11" fmla="*/ 104619 w 876300"/>
                <a:gd name="connsiteY11" fmla="*/ 337797 h 533400"/>
                <a:gd name="connsiteX12" fmla="*/ 86418 w 876300"/>
                <a:gd name="connsiteY12" fmla="*/ 301077 h 533400"/>
                <a:gd name="connsiteX13" fmla="*/ 68849 w 876300"/>
                <a:gd name="connsiteY13" fmla="*/ 300009 h 533400"/>
                <a:gd name="connsiteX14" fmla="*/ 48907 w 876300"/>
                <a:gd name="connsiteY14" fmla="*/ 287070 h 533400"/>
                <a:gd name="connsiteX15" fmla="*/ 44317 w 876300"/>
                <a:gd name="connsiteY15" fmla="*/ 277890 h 533400"/>
                <a:gd name="connsiteX16" fmla="*/ 41468 w 876300"/>
                <a:gd name="connsiteY16" fmla="*/ 266574 h 533400"/>
                <a:gd name="connsiteX17" fmla="*/ 42101 w 876300"/>
                <a:gd name="connsiteY17" fmla="*/ 233098 h 533400"/>
                <a:gd name="connsiteX18" fmla="*/ 0 w 876300"/>
                <a:gd name="connsiteY18" fmla="*/ 206113 h 533400"/>
                <a:gd name="connsiteX19" fmla="*/ 36403 w 876300"/>
                <a:gd name="connsiteY19" fmla="*/ 171609 h 533400"/>
                <a:gd name="connsiteX20" fmla="*/ 51123 w 876300"/>
                <a:gd name="connsiteY20" fmla="*/ 148936 h 533400"/>
                <a:gd name="connsiteX21" fmla="*/ 127411 w 876300"/>
                <a:gd name="connsiteY21" fmla="*/ 79849 h 533400"/>
                <a:gd name="connsiteX22" fmla="*/ 175210 w 876300"/>
                <a:gd name="connsiteY22" fmla="*/ 66910 h 533400"/>
                <a:gd name="connsiteX23" fmla="*/ 209397 w 876300"/>
                <a:gd name="connsiteY23" fmla="*/ 60421 h 533400"/>
                <a:gd name="connsiteX24" fmla="*/ 221901 w 876300"/>
                <a:gd name="connsiteY24" fmla="*/ 52903 h 533400"/>
                <a:gd name="connsiteX25" fmla="*/ 249124 w 876300"/>
                <a:gd name="connsiteY25" fmla="*/ 55040 h 533400"/>
                <a:gd name="connsiteX26" fmla="*/ 275397 w 876300"/>
                <a:gd name="connsiteY26" fmla="*/ 43169 h 533400"/>
                <a:gd name="connsiteX27" fmla="*/ 390304 w 876300"/>
                <a:gd name="connsiteY27" fmla="*/ 41784 h 533400"/>
                <a:gd name="connsiteX28" fmla="*/ 406923 w 876300"/>
                <a:gd name="connsiteY28" fmla="*/ 36680 h 533400"/>
                <a:gd name="connsiteX29" fmla="*/ 447125 w 876300"/>
                <a:gd name="connsiteY29" fmla="*/ 54961 h 533400"/>
                <a:gd name="connsiteX30" fmla="*/ 487010 w 876300"/>
                <a:gd name="connsiteY30" fmla="*/ 49619 h 533400"/>
                <a:gd name="connsiteX31" fmla="*/ 529744 w 876300"/>
                <a:gd name="connsiteY31" fmla="*/ 18914 h 533400"/>
                <a:gd name="connsiteX32" fmla="*/ 547946 w 876300"/>
                <a:gd name="connsiteY32" fmla="*/ 0 h 533400"/>
                <a:gd name="connsiteX33" fmla="*/ 624234 w 876300"/>
                <a:gd name="connsiteY33" fmla="*/ 52903 h 533400"/>
                <a:gd name="connsiteX34" fmla="*/ 634997 w 876300"/>
                <a:gd name="connsiteY34" fmla="*/ 77673 h 533400"/>
                <a:gd name="connsiteX35" fmla="*/ 743098 w 876300"/>
                <a:gd name="connsiteY35" fmla="*/ 134375 h 533400"/>
                <a:gd name="connsiteX36" fmla="*/ 769846 w 876300"/>
                <a:gd name="connsiteY36" fmla="*/ 153249 h 533400"/>
                <a:gd name="connsiteX37" fmla="*/ 801659 w 876300"/>
                <a:gd name="connsiteY37" fmla="*/ 161875 h 533400"/>
                <a:gd name="connsiteX38" fmla="*/ 870509 w 876300"/>
                <a:gd name="connsiteY38" fmla="*/ 184548 h 533400"/>
                <a:gd name="connsiteX39" fmla="*/ 845501 w 876300"/>
                <a:gd name="connsiteY39" fmla="*/ 239548 h 533400"/>
                <a:gd name="connsiteX40" fmla="*/ 813688 w 876300"/>
                <a:gd name="connsiteY40" fmla="*/ 262221 h 533400"/>
                <a:gd name="connsiteX41" fmla="*/ 806882 w 876300"/>
                <a:gd name="connsiteY41" fmla="*/ 298941 h 533400"/>
                <a:gd name="connsiteX42" fmla="*/ 797703 w 876300"/>
                <a:gd name="connsiteY42" fmla="*/ 301077 h 533400"/>
                <a:gd name="connsiteX43" fmla="*/ 796595 w 876300"/>
                <a:gd name="connsiteY43" fmla="*/ 331308 h 533400"/>
                <a:gd name="connsiteX44" fmla="*/ 790897 w 876300"/>
                <a:gd name="connsiteY44" fmla="*/ 337797 h 533400"/>
                <a:gd name="connsiteX45" fmla="*/ 790897 w 876300"/>
                <a:gd name="connsiteY45" fmla="*/ 376653 h 533400"/>
                <a:gd name="connsiteX46" fmla="*/ 799918 w 876300"/>
                <a:gd name="connsiteY46" fmla="*/ 398218 h 533400"/>
                <a:gd name="connsiteX47" fmla="*/ 804508 w 876300"/>
                <a:gd name="connsiteY47" fmla="*/ 414402 h 533400"/>
                <a:gd name="connsiteX48" fmla="*/ 829041 w 876300"/>
                <a:gd name="connsiteY48" fmla="*/ 436521 h 533400"/>
                <a:gd name="connsiteX49" fmla="*/ 851674 w 876300"/>
                <a:gd name="connsiteY49" fmla="*/ 491640 h 533400"/>
                <a:gd name="connsiteX50" fmla="*/ 876523 w 876300"/>
                <a:gd name="connsiteY50" fmla="*/ 490136 h 533400"/>
                <a:gd name="connsiteX51" fmla="*/ 885386 w 876300"/>
                <a:gd name="connsiteY51" fmla="*/ 513007 h 533400"/>
                <a:gd name="connsiteX52" fmla="*/ 861329 w 876300"/>
                <a:gd name="connsiteY52" fmla="*/ 526064 h 533400"/>
                <a:gd name="connsiteX53" fmla="*/ 827300 w 876300"/>
                <a:gd name="connsiteY53" fmla="*/ 536352 h 533400"/>
                <a:gd name="connsiteX54" fmla="*/ 807357 w 876300"/>
                <a:gd name="connsiteY54" fmla="*/ 532039 h 533400"/>
                <a:gd name="connsiteX55" fmla="*/ 775386 w 876300"/>
                <a:gd name="connsiteY55" fmla="*/ 497812 h 533400"/>
                <a:gd name="connsiteX56" fmla="*/ 756235 w 876300"/>
                <a:gd name="connsiteY56" fmla="*/ 474269 h 533400"/>
                <a:gd name="connsiteX57" fmla="*/ 723155 w 876300"/>
                <a:gd name="connsiteY57" fmla="*/ 439765 h 533400"/>
                <a:gd name="connsiteX58" fmla="*/ 697515 w 876300"/>
                <a:gd name="connsiteY58" fmla="*/ 418715 h 533400"/>
                <a:gd name="connsiteX59" fmla="*/ 684536 w 876300"/>
                <a:gd name="connsiteY59" fmla="*/ 416024 h 533400"/>
                <a:gd name="connsiteX60" fmla="*/ 658263 w 876300"/>
                <a:gd name="connsiteY60" fmla="*/ 416024 h 533400"/>
                <a:gd name="connsiteX61" fmla="*/ 636738 w 876300"/>
                <a:gd name="connsiteY61" fmla="*/ 417646 h 533400"/>
                <a:gd name="connsiteX62" fmla="*/ 567888 w 876300"/>
                <a:gd name="connsiteY62" fmla="*/ 430031 h 533400"/>
                <a:gd name="connsiteX63" fmla="*/ 542723 w 876300"/>
                <a:gd name="connsiteY63" fmla="*/ 437589 h 533400"/>
                <a:gd name="connsiteX64" fmla="*/ 520089 w 876300"/>
                <a:gd name="connsiteY64" fmla="*/ 440319 h 533400"/>
                <a:gd name="connsiteX65" fmla="*/ 466593 w 876300"/>
                <a:gd name="connsiteY65" fmla="*/ 446215 h 533400"/>
                <a:gd name="connsiteX66" fmla="*/ 431772 w 876300"/>
                <a:gd name="connsiteY66" fmla="*/ 471064 h 533400"/>
                <a:gd name="connsiteX67" fmla="*/ 395369 w 876300"/>
                <a:gd name="connsiteY67" fmla="*/ 478622 h 533400"/>
                <a:gd name="connsiteX68" fmla="*/ 355009 w 876300"/>
                <a:gd name="connsiteY68" fmla="*/ 499118 h 533400"/>
                <a:gd name="connsiteX69" fmla="*/ 315757 w 876300"/>
                <a:gd name="connsiteY69" fmla="*/ 500186 h 533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876300" h="533400">
                  <a:moveTo>
                    <a:pt x="315757" y="500186"/>
                  </a:moveTo>
                  <a:lnTo>
                    <a:pt x="315757" y="500186"/>
                  </a:lnTo>
                  <a:lnTo>
                    <a:pt x="315757" y="463506"/>
                  </a:lnTo>
                  <a:lnTo>
                    <a:pt x="310059" y="447323"/>
                  </a:lnTo>
                  <a:lnTo>
                    <a:pt x="311800" y="432762"/>
                  </a:lnTo>
                  <a:lnTo>
                    <a:pt x="312908" y="350736"/>
                  </a:lnTo>
                  <a:lnTo>
                    <a:pt x="245800" y="350736"/>
                  </a:lnTo>
                  <a:lnTo>
                    <a:pt x="207023" y="363675"/>
                  </a:lnTo>
                  <a:lnTo>
                    <a:pt x="164447" y="368186"/>
                  </a:lnTo>
                  <a:lnTo>
                    <a:pt x="125195" y="376653"/>
                  </a:lnTo>
                  <a:lnTo>
                    <a:pt x="119972" y="380412"/>
                  </a:lnTo>
                  <a:lnTo>
                    <a:pt x="104619" y="337797"/>
                  </a:lnTo>
                  <a:lnTo>
                    <a:pt x="86418" y="301077"/>
                  </a:lnTo>
                  <a:lnTo>
                    <a:pt x="68849" y="300009"/>
                  </a:lnTo>
                  <a:lnTo>
                    <a:pt x="48907" y="287070"/>
                  </a:lnTo>
                  <a:lnTo>
                    <a:pt x="44317" y="277890"/>
                  </a:lnTo>
                  <a:lnTo>
                    <a:pt x="41468" y="266574"/>
                  </a:lnTo>
                  <a:lnTo>
                    <a:pt x="42101" y="233098"/>
                  </a:lnTo>
                  <a:lnTo>
                    <a:pt x="0" y="206113"/>
                  </a:lnTo>
                  <a:lnTo>
                    <a:pt x="36403" y="171609"/>
                  </a:lnTo>
                  <a:lnTo>
                    <a:pt x="51123" y="148936"/>
                  </a:lnTo>
                  <a:lnTo>
                    <a:pt x="127411" y="79849"/>
                  </a:lnTo>
                  <a:lnTo>
                    <a:pt x="175210" y="66910"/>
                  </a:lnTo>
                  <a:lnTo>
                    <a:pt x="209397" y="60421"/>
                  </a:lnTo>
                  <a:lnTo>
                    <a:pt x="221901" y="52903"/>
                  </a:lnTo>
                  <a:lnTo>
                    <a:pt x="249124" y="55040"/>
                  </a:lnTo>
                  <a:lnTo>
                    <a:pt x="275397" y="43169"/>
                  </a:lnTo>
                  <a:lnTo>
                    <a:pt x="390304" y="41784"/>
                  </a:lnTo>
                  <a:lnTo>
                    <a:pt x="406923" y="36680"/>
                  </a:lnTo>
                  <a:lnTo>
                    <a:pt x="447125" y="54961"/>
                  </a:lnTo>
                  <a:lnTo>
                    <a:pt x="487010" y="49619"/>
                  </a:lnTo>
                  <a:lnTo>
                    <a:pt x="529744" y="18914"/>
                  </a:lnTo>
                  <a:lnTo>
                    <a:pt x="547946" y="0"/>
                  </a:lnTo>
                  <a:lnTo>
                    <a:pt x="624234" y="52903"/>
                  </a:lnTo>
                  <a:lnTo>
                    <a:pt x="634997" y="77673"/>
                  </a:lnTo>
                  <a:lnTo>
                    <a:pt x="743098" y="134375"/>
                  </a:lnTo>
                  <a:lnTo>
                    <a:pt x="769846" y="153249"/>
                  </a:lnTo>
                  <a:lnTo>
                    <a:pt x="801659" y="161875"/>
                  </a:lnTo>
                  <a:lnTo>
                    <a:pt x="870509" y="184548"/>
                  </a:lnTo>
                  <a:lnTo>
                    <a:pt x="845501" y="239548"/>
                  </a:lnTo>
                  <a:lnTo>
                    <a:pt x="813688" y="262221"/>
                  </a:lnTo>
                  <a:lnTo>
                    <a:pt x="806882" y="298941"/>
                  </a:lnTo>
                  <a:lnTo>
                    <a:pt x="797703" y="301077"/>
                  </a:lnTo>
                  <a:lnTo>
                    <a:pt x="796595" y="331308"/>
                  </a:lnTo>
                  <a:lnTo>
                    <a:pt x="790897" y="337797"/>
                  </a:lnTo>
                  <a:lnTo>
                    <a:pt x="790897" y="376653"/>
                  </a:lnTo>
                  <a:lnTo>
                    <a:pt x="799918" y="398218"/>
                  </a:lnTo>
                  <a:lnTo>
                    <a:pt x="804508" y="414402"/>
                  </a:lnTo>
                  <a:lnTo>
                    <a:pt x="829041" y="436521"/>
                  </a:lnTo>
                  <a:lnTo>
                    <a:pt x="851674" y="491640"/>
                  </a:lnTo>
                  <a:lnTo>
                    <a:pt x="876523" y="490136"/>
                  </a:lnTo>
                  <a:lnTo>
                    <a:pt x="885386" y="513007"/>
                  </a:lnTo>
                  <a:lnTo>
                    <a:pt x="861329" y="526064"/>
                  </a:lnTo>
                  <a:lnTo>
                    <a:pt x="827300" y="536352"/>
                  </a:lnTo>
                  <a:lnTo>
                    <a:pt x="807357" y="532039"/>
                  </a:lnTo>
                  <a:lnTo>
                    <a:pt x="775386" y="497812"/>
                  </a:lnTo>
                  <a:lnTo>
                    <a:pt x="756235" y="474269"/>
                  </a:lnTo>
                  <a:lnTo>
                    <a:pt x="723155" y="439765"/>
                  </a:lnTo>
                  <a:lnTo>
                    <a:pt x="697515" y="418715"/>
                  </a:lnTo>
                  <a:lnTo>
                    <a:pt x="684536" y="416024"/>
                  </a:lnTo>
                  <a:lnTo>
                    <a:pt x="658263" y="416024"/>
                  </a:lnTo>
                  <a:lnTo>
                    <a:pt x="636738" y="417646"/>
                  </a:lnTo>
                  <a:lnTo>
                    <a:pt x="567888" y="430031"/>
                  </a:lnTo>
                  <a:lnTo>
                    <a:pt x="542723" y="437589"/>
                  </a:lnTo>
                  <a:lnTo>
                    <a:pt x="520089" y="440319"/>
                  </a:lnTo>
                  <a:lnTo>
                    <a:pt x="466593" y="446215"/>
                  </a:lnTo>
                  <a:lnTo>
                    <a:pt x="431772" y="471064"/>
                  </a:lnTo>
                  <a:lnTo>
                    <a:pt x="395369" y="478622"/>
                  </a:lnTo>
                  <a:lnTo>
                    <a:pt x="355009" y="499118"/>
                  </a:lnTo>
                  <a:lnTo>
                    <a:pt x="315757" y="500186"/>
                  </a:lnTo>
                </a:path>
              </a:pathLst>
            </a:custGeom>
            <a:solidFill>
              <a:srgbClr val="FFFFFF"/>
            </a:solidFill>
            <a:ln w="5132" cap="flat">
              <a:solidFill>
                <a:srgbClr val="030000"/>
              </a:solidFill>
              <a:prstDash val="solid"/>
              <a:miter/>
            </a:ln>
          </xdr:spPr>
          <xdr:txBody>
            <a:bodyPr rtlCol="0" anchor="ctr"/>
            <a:lstStyle/>
            <a:p>
              <a:endParaRPr lang="en-US"/>
            </a:p>
          </xdr:txBody>
        </xdr:sp>
        <xdr:sp macro="" textlink="">
          <xdr:nvSpPr>
            <xdr:cNvPr id="125" name="10_1">
              <a:extLst>
                <a:ext uri="{FF2B5EF4-FFF2-40B4-BE49-F238E27FC236}">
                  <a16:creationId xmlns:a16="http://schemas.microsoft.com/office/drawing/2014/main" id="{45758F80-4C72-4440-B7ED-F44A47A5B089}"/>
                </a:ext>
              </a:extLst>
            </xdr:cNvPr>
            <xdr:cNvSpPr/>
          </xdr:nvSpPr>
          <xdr:spPr>
            <a:xfrm>
              <a:off x="2985800" y="4201876"/>
              <a:ext cx="1201209" cy="1174750"/>
            </a:xfrm>
            <a:custGeom>
              <a:avLst/>
              <a:gdLst>
                <a:gd name="connsiteX0" fmla="*/ 898048 w 1209675"/>
                <a:gd name="connsiteY0" fmla="*/ 231991 h 1123950"/>
                <a:gd name="connsiteX1" fmla="*/ 898048 w 1209675"/>
                <a:gd name="connsiteY1" fmla="*/ 231991 h 1123950"/>
                <a:gd name="connsiteX2" fmla="*/ 940149 w 1209675"/>
                <a:gd name="connsiteY2" fmla="*/ 258976 h 1123950"/>
                <a:gd name="connsiteX3" fmla="*/ 939516 w 1209675"/>
                <a:gd name="connsiteY3" fmla="*/ 292451 h 1123950"/>
                <a:gd name="connsiteX4" fmla="*/ 942365 w 1209675"/>
                <a:gd name="connsiteY4" fmla="*/ 303768 h 1123950"/>
                <a:gd name="connsiteX5" fmla="*/ 946955 w 1209675"/>
                <a:gd name="connsiteY5" fmla="*/ 312948 h 1123950"/>
                <a:gd name="connsiteX6" fmla="*/ 966898 w 1209675"/>
                <a:gd name="connsiteY6" fmla="*/ 325887 h 1123950"/>
                <a:gd name="connsiteX7" fmla="*/ 984466 w 1209675"/>
                <a:gd name="connsiteY7" fmla="*/ 326955 h 1123950"/>
                <a:gd name="connsiteX8" fmla="*/ 1002668 w 1209675"/>
                <a:gd name="connsiteY8" fmla="*/ 363675 h 1123950"/>
                <a:gd name="connsiteX9" fmla="*/ 1018020 w 1209675"/>
                <a:gd name="connsiteY9" fmla="*/ 406290 h 1123950"/>
                <a:gd name="connsiteX10" fmla="*/ 1023243 w 1209675"/>
                <a:gd name="connsiteY10" fmla="*/ 402531 h 1123950"/>
                <a:gd name="connsiteX11" fmla="*/ 1062495 w 1209675"/>
                <a:gd name="connsiteY11" fmla="*/ 394063 h 1123950"/>
                <a:gd name="connsiteX12" fmla="*/ 1105071 w 1209675"/>
                <a:gd name="connsiteY12" fmla="*/ 389553 h 1123950"/>
                <a:gd name="connsiteX13" fmla="*/ 1143848 w 1209675"/>
                <a:gd name="connsiteY13" fmla="*/ 376614 h 1123950"/>
                <a:gd name="connsiteX14" fmla="*/ 1210957 w 1209675"/>
                <a:gd name="connsiteY14" fmla="*/ 376614 h 1123950"/>
                <a:gd name="connsiteX15" fmla="*/ 1209849 w 1209675"/>
                <a:gd name="connsiteY15" fmla="*/ 458639 h 1123950"/>
                <a:gd name="connsiteX16" fmla="*/ 1208108 w 1209675"/>
                <a:gd name="connsiteY16" fmla="*/ 473201 h 1123950"/>
                <a:gd name="connsiteX17" fmla="*/ 1213806 w 1209675"/>
                <a:gd name="connsiteY17" fmla="*/ 489384 h 1123950"/>
                <a:gd name="connsiteX18" fmla="*/ 1213806 w 1209675"/>
                <a:gd name="connsiteY18" fmla="*/ 526064 h 1123950"/>
                <a:gd name="connsiteX19" fmla="*/ 1171705 w 1209675"/>
                <a:gd name="connsiteY19" fmla="*/ 530931 h 1123950"/>
                <a:gd name="connsiteX20" fmla="*/ 1123906 w 1209675"/>
                <a:gd name="connsiteY20" fmla="*/ 533107 h 1123950"/>
                <a:gd name="connsiteX21" fmla="*/ 1123906 w 1209675"/>
                <a:gd name="connsiteY21" fmla="*/ 554672 h 1123950"/>
                <a:gd name="connsiteX22" fmla="*/ 1121057 w 1209675"/>
                <a:gd name="connsiteY22" fmla="*/ 562230 h 1123950"/>
                <a:gd name="connsiteX23" fmla="*/ 1117575 w 1209675"/>
                <a:gd name="connsiteY23" fmla="*/ 574101 h 1123950"/>
                <a:gd name="connsiteX24" fmla="*/ 1113143 w 1209675"/>
                <a:gd name="connsiteY24" fmla="*/ 600532 h 1123950"/>
                <a:gd name="connsiteX25" fmla="*/ 1112510 w 1209675"/>
                <a:gd name="connsiteY25" fmla="*/ 603777 h 1123950"/>
                <a:gd name="connsiteX26" fmla="*/ 1107445 w 1209675"/>
                <a:gd name="connsiteY26" fmla="*/ 625896 h 1123950"/>
                <a:gd name="connsiteX27" fmla="*/ 1102855 w 1209675"/>
                <a:gd name="connsiteY27" fmla="*/ 656126 h 1123950"/>
                <a:gd name="connsiteX28" fmla="*/ 1114251 w 1209675"/>
                <a:gd name="connsiteY28" fmla="*/ 656126 h 1123950"/>
                <a:gd name="connsiteX29" fmla="*/ 1110769 w 1209675"/>
                <a:gd name="connsiteY29" fmla="*/ 692252 h 1123950"/>
                <a:gd name="connsiteX30" fmla="*/ 1106179 w 1209675"/>
                <a:gd name="connsiteY30" fmla="*/ 740289 h 1123950"/>
                <a:gd name="connsiteX31" fmla="*/ 1107445 w 1209675"/>
                <a:gd name="connsiteY31" fmla="*/ 801303 h 1123950"/>
                <a:gd name="connsiteX32" fmla="*/ 1103963 w 1209675"/>
                <a:gd name="connsiteY32" fmla="*/ 820692 h 1123950"/>
                <a:gd name="connsiteX33" fmla="*/ 1103330 w 1209675"/>
                <a:gd name="connsiteY33" fmla="*/ 850922 h 1123950"/>
                <a:gd name="connsiteX34" fmla="*/ 1096050 w 1209675"/>
                <a:gd name="connsiteY34" fmla="*/ 893577 h 1123950"/>
                <a:gd name="connsiteX35" fmla="*/ 1056798 w 1209675"/>
                <a:gd name="connsiteY35" fmla="*/ 903825 h 1123950"/>
                <a:gd name="connsiteX36" fmla="*/ 1055531 w 1209675"/>
                <a:gd name="connsiteY36" fmla="*/ 928081 h 1123950"/>
                <a:gd name="connsiteX37" fmla="*/ 1042553 w 1209675"/>
                <a:gd name="connsiteY37" fmla="*/ 922700 h 1123950"/>
                <a:gd name="connsiteX38" fmla="*/ 1000452 w 1209675"/>
                <a:gd name="connsiteY38" fmla="*/ 924322 h 1123950"/>
                <a:gd name="connsiteX39" fmla="*/ 972596 w 1209675"/>
                <a:gd name="connsiteY39" fmla="*/ 916764 h 1123950"/>
                <a:gd name="connsiteX40" fmla="*/ 948063 w 1209675"/>
                <a:gd name="connsiteY40" fmla="*/ 898959 h 1123950"/>
                <a:gd name="connsiteX41" fmla="*/ 898523 w 1209675"/>
                <a:gd name="connsiteY41" fmla="*/ 867145 h 1123950"/>
                <a:gd name="connsiteX42" fmla="*/ 888869 w 1209675"/>
                <a:gd name="connsiteY42" fmla="*/ 864415 h 1123950"/>
                <a:gd name="connsiteX43" fmla="*/ 850091 w 1209675"/>
                <a:gd name="connsiteY43" fmla="*/ 827735 h 1123950"/>
                <a:gd name="connsiteX44" fmla="*/ 847875 w 1209675"/>
                <a:gd name="connsiteY44" fmla="*/ 819070 h 1123950"/>
                <a:gd name="connsiteX45" fmla="*/ 832048 w 1209675"/>
                <a:gd name="connsiteY45" fmla="*/ 816933 h 1123950"/>
                <a:gd name="connsiteX46" fmla="*/ 811472 w 1209675"/>
                <a:gd name="connsiteY46" fmla="*/ 809929 h 1123950"/>
                <a:gd name="connsiteX47" fmla="*/ 782983 w 1209675"/>
                <a:gd name="connsiteY47" fmla="*/ 792638 h 1123950"/>
                <a:gd name="connsiteX48" fmla="*/ 746105 w 1209675"/>
                <a:gd name="connsiteY48" fmla="*/ 779699 h 1123950"/>
                <a:gd name="connsiteX49" fmla="*/ 693083 w 1209675"/>
                <a:gd name="connsiteY49" fmla="*/ 748954 h 1123950"/>
                <a:gd name="connsiteX50" fmla="*/ 673774 w 1209675"/>
                <a:gd name="connsiteY50" fmla="*/ 744601 h 1123950"/>
                <a:gd name="connsiteX51" fmla="*/ 671558 w 1209675"/>
                <a:gd name="connsiteY51" fmla="*/ 727350 h 1123950"/>
                <a:gd name="connsiteX52" fmla="*/ 647025 w 1209675"/>
                <a:gd name="connsiteY52" fmla="*/ 710612 h 1123950"/>
                <a:gd name="connsiteX53" fmla="*/ 609514 w 1209675"/>
                <a:gd name="connsiteY53" fmla="*/ 711720 h 1123950"/>
                <a:gd name="connsiteX54" fmla="*/ 604291 w 1209675"/>
                <a:gd name="connsiteY54" fmla="*/ 723591 h 1123950"/>
                <a:gd name="connsiteX55" fmla="*/ 582766 w 1209675"/>
                <a:gd name="connsiteY55" fmla="*/ 740289 h 1123950"/>
                <a:gd name="connsiteX56" fmla="*/ 544622 w 1209675"/>
                <a:gd name="connsiteY56" fmla="*/ 779184 h 1123950"/>
                <a:gd name="connsiteX57" fmla="*/ 516133 w 1209675"/>
                <a:gd name="connsiteY57" fmla="*/ 777008 h 1123950"/>
                <a:gd name="connsiteX58" fmla="*/ 440477 w 1209675"/>
                <a:gd name="connsiteY58" fmla="*/ 830980 h 1123950"/>
                <a:gd name="connsiteX59" fmla="*/ 451873 w 1209675"/>
                <a:gd name="connsiteY59" fmla="*/ 863347 h 1123950"/>
                <a:gd name="connsiteX60" fmla="*/ 429082 w 1209675"/>
                <a:gd name="connsiteY60" fmla="*/ 909761 h 1123950"/>
                <a:gd name="connsiteX61" fmla="*/ 410880 w 1209675"/>
                <a:gd name="connsiteY61" fmla="*/ 942128 h 1123950"/>
                <a:gd name="connsiteX62" fmla="*/ 386981 w 1209675"/>
                <a:gd name="connsiteY62" fmla="*/ 969114 h 1123950"/>
                <a:gd name="connsiteX63" fmla="*/ 388089 w 1209675"/>
                <a:gd name="connsiteY63" fmla="*/ 993963 h 1123950"/>
                <a:gd name="connsiteX64" fmla="*/ 367671 w 1209675"/>
                <a:gd name="connsiteY64" fmla="*/ 1001520 h 1123950"/>
                <a:gd name="connsiteX65" fmla="*/ 369412 w 1209675"/>
                <a:gd name="connsiteY65" fmla="*/ 1019287 h 1123950"/>
                <a:gd name="connsiteX66" fmla="*/ 358016 w 1209675"/>
                <a:gd name="connsiteY66" fmla="*/ 1026330 h 1123950"/>
                <a:gd name="connsiteX67" fmla="*/ 329527 w 1209675"/>
                <a:gd name="connsiteY67" fmla="*/ 1043582 h 1123950"/>
                <a:gd name="connsiteX68" fmla="*/ 308951 w 1209675"/>
                <a:gd name="connsiteY68" fmla="*/ 1066254 h 1123950"/>
                <a:gd name="connsiteX69" fmla="*/ 295973 w 1209675"/>
                <a:gd name="connsiteY69" fmla="*/ 1080301 h 1123950"/>
                <a:gd name="connsiteX70" fmla="*/ 284577 w 1209675"/>
                <a:gd name="connsiteY70" fmla="*/ 1086237 h 1123950"/>
                <a:gd name="connsiteX71" fmla="*/ 270333 w 1209675"/>
                <a:gd name="connsiteY71" fmla="*/ 1099176 h 1123950"/>
                <a:gd name="connsiteX72" fmla="*/ 249915 w 1209675"/>
                <a:gd name="connsiteY72" fmla="*/ 1117535 h 1123950"/>
                <a:gd name="connsiteX73" fmla="*/ 236145 w 1209675"/>
                <a:gd name="connsiteY73" fmla="*/ 1124539 h 1123950"/>
                <a:gd name="connsiteX74" fmla="*/ 233296 w 1209675"/>
                <a:gd name="connsiteY74" fmla="*/ 1118050 h 1123950"/>
                <a:gd name="connsiteX75" fmla="*/ 225857 w 1209675"/>
                <a:gd name="connsiteY75" fmla="*/ 1108355 h 1123950"/>
                <a:gd name="connsiteX76" fmla="*/ 214620 w 1209675"/>
                <a:gd name="connsiteY76" fmla="*/ 1085129 h 1123950"/>
                <a:gd name="connsiteX77" fmla="*/ 194044 w 1209675"/>
                <a:gd name="connsiteY77" fmla="*/ 1053870 h 1123950"/>
                <a:gd name="connsiteX78" fmla="*/ 187239 w 1209675"/>
                <a:gd name="connsiteY78" fmla="*/ 1046312 h 1123950"/>
                <a:gd name="connsiteX79" fmla="*/ 171886 w 1209675"/>
                <a:gd name="connsiteY79" fmla="*/ 1022531 h 1123950"/>
                <a:gd name="connsiteX80" fmla="*/ 156533 w 1209675"/>
                <a:gd name="connsiteY80" fmla="*/ 999898 h 1123950"/>
                <a:gd name="connsiteX81" fmla="*/ 146879 w 1209675"/>
                <a:gd name="connsiteY81" fmla="*/ 981538 h 1123950"/>
                <a:gd name="connsiteX82" fmla="*/ 146245 w 1209675"/>
                <a:gd name="connsiteY82" fmla="*/ 960488 h 1123950"/>
                <a:gd name="connsiteX83" fmla="*/ 139440 w 1209675"/>
                <a:gd name="connsiteY83" fmla="*/ 958865 h 1123950"/>
                <a:gd name="connsiteX84" fmla="*/ 135958 w 1209675"/>
                <a:gd name="connsiteY84" fmla="*/ 948617 h 1123950"/>
                <a:gd name="connsiteX85" fmla="*/ 127569 w 1209675"/>
                <a:gd name="connsiteY85" fmla="*/ 920523 h 1123950"/>
                <a:gd name="connsiteX86" fmla="*/ 131526 w 1209675"/>
                <a:gd name="connsiteY86" fmla="*/ 907031 h 1123950"/>
                <a:gd name="connsiteX87" fmla="*/ 133267 w 1209675"/>
                <a:gd name="connsiteY87" fmla="*/ 887642 h 1123950"/>
                <a:gd name="connsiteX88" fmla="*/ 142289 w 1209675"/>
                <a:gd name="connsiteY88" fmla="*/ 877354 h 1123950"/>
                <a:gd name="connsiteX89" fmla="*/ 141181 w 1209675"/>
                <a:gd name="connsiteY89" fmla="*/ 867145 h 1123950"/>
                <a:gd name="connsiteX90" fmla="*/ 149728 w 1209675"/>
                <a:gd name="connsiteY90" fmla="*/ 868174 h 1123950"/>
                <a:gd name="connsiteX91" fmla="*/ 159382 w 1209675"/>
                <a:gd name="connsiteY91" fmla="*/ 862239 h 1123950"/>
                <a:gd name="connsiteX92" fmla="*/ 182174 w 1209675"/>
                <a:gd name="connsiteY92" fmla="*/ 816933 h 1123950"/>
                <a:gd name="connsiteX93" fmla="*/ 166188 w 1209675"/>
                <a:gd name="connsiteY93" fmla="*/ 810444 h 1123950"/>
                <a:gd name="connsiteX94" fmla="*/ 147986 w 1209675"/>
                <a:gd name="connsiteY94" fmla="*/ 797505 h 1123950"/>
                <a:gd name="connsiteX95" fmla="*/ 130893 w 1209675"/>
                <a:gd name="connsiteY95" fmla="*/ 780767 h 1123950"/>
                <a:gd name="connsiteX96" fmla="*/ 113799 w 1209675"/>
                <a:gd name="connsiteY96" fmla="*/ 760825 h 1123950"/>
                <a:gd name="connsiteX97" fmla="*/ 97972 w 1209675"/>
                <a:gd name="connsiteY97" fmla="*/ 741396 h 1123950"/>
                <a:gd name="connsiteX98" fmla="*/ 88317 w 1209675"/>
                <a:gd name="connsiteY98" fmla="*/ 730594 h 1123950"/>
                <a:gd name="connsiteX99" fmla="*/ 67267 w 1209675"/>
                <a:gd name="connsiteY99" fmla="*/ 712788 h 1123950"/>
                <a:gd name="connsiteX100" fmla="*/ 38144 w 1209675"/>
                <a:gd name="connsiteY100" fmla="*/ 686357 h 1123950"/>
                <a:gd name="connsiteX101" fmla="*/ 25640 w 1209675"/>
                <a:gd name="connsiteY101" fmla="*/ 670133 h 1123950"/>
                <a:gd name="connsiteX102" fmla="*/ 6806 w 1209675"/>
                <a:gd name="connsiteY102" fmla="*/ 660954 h 1123950"/>
                <a:gd name="connsiteX103" fmla="*/ 0 w 1209675"/>
                <a:gd name="connsiteY103" fmla="*/ 650745 h 1123950"/>
                <a:gd name="connsiteX104" fmla="*/ 633 w 1209675"/>
                <a:gd name="connsiteY104" fmla="*/ 618892 h 1123950"/>
                <a:gd name="connsiteX105" fmla="*/ 5698 w 1209675"/>
                <a:gd name="connsiteY105" fmla="*/ 612957 h 1123950"/>
                <a:gd name="connsiteX106" fmla="*/ 14245 w 1209675"/>
                <a:gd name="connsiteY106" fmla="*/ 612957 h 1123950"/>
                <a:gd name="connsiteX107" fmla="*/ 29597 w 1209675"/>
                <a:gd name="connsiteY107" fmla="*/ 610781 h 1123950"/>
                <a:gd name="connsiteX108" fmla="*/ 42734 w 1209675"/>
                <a:gd name="connsiteY108" fmla="*/ 606468 h 1123950"/>
                <a:gd name="connsiteX109" fmla="*/ 47324 w 1209675"/>
                <a:gd name="connsiteY109" fmla="*/ 594597 h 1123950"/>
                <a:gd name="connsiteX110" fmla="*/ 41626 w 1209675"/>
                <a:gd name="connsiteY110" fmla="*/ 585417 h 1123950"/>
                <a:gd name="connsiteX111" fmla="*/ 41626 w 1209675"/>
                <a:gd name="connsiteY111" fmla="*/ 577899 h 1123950"/>
                <a:gd name="connsiteX112" fmla="*/ 51756 w 1209675"/>
                <a:gd name="connsiteY112" fmla="*/ 570856 h 1123950"/>
                <a:gd name="connsiteX113" fmla="*/ 70590 w 1209675"/>
                <a:gd name="connsiteY113" fmla="*/ 571410 h 1123950"/>
                <a:gd name="connsiteX114" fmla="*/ 87684 w 1209675"/>
                <a:gd name="connsiteY114" fmla="*/ 570341 h 1123950"/>
                <a:gd name="connsiteX115" fmla="*/ 120130 w 1209675"/>
                <a:gd name="connsiteY115" fmla="*/ 562784 h 1123950"/>
                <a:gd name="connsiteX116" fmla="*/ 154317 w 1209675"/>
                <a:gd name="connsiteY116" fmla="*/ 552496 h 1123950"/>
                <a:gd name="connsiteX117" fmla="*/ 165080 w 1209675"/>
                <a:gd name="connsiteY117" fmla="*/ 531485 h 1123950"/>
                <a:gd name="connsiteX118" fmla="*/ 185023 w 1209675"/>
                <a:gd name="connsiteY118" fmla="*/ 510949 h 1123950"/>
                <a:gd name="connsiteX119" fmla="*/ 195785 w 1209675"/>
                <a:gd name="connsiteY119" fmla="*/ 498010 h 1123950"/>
                <a:gd name="connsiteX120" fmla="*/ 198634 w 1209675"/>
                <a:gd name="connsiteY120" fmla="*/ 488830 h 1123950"/>
                <a:gd name="connsiteX121" fmla="*/ 190087 w 1209675"/>
                <a:gd name="connsiteY121" fmla="*/ 482895 h 1123950"/>
                <a:gd name="connsiteX122" fmla="*/ 172994 w 1209675"/>
                <a:gd name="connsiteY122" fmla="*/ 476960 h 1123950"/>
                <a:gd name="connsiteX123" fmla="*/ 163339 w 1209675"/>
                <a:gd name="connsiteY123" fmla="*/ 470470 h 1123950"/>
                <a:gd name="connsiteX124" fmla="*/ 167929 w 1209675"/>
                <a:gd name="connsiteY124" fmla="*/ 464021 h 1123950"/>
                <a:gd name="connsiteX125" fmla="*/ 181541 w 1209675"/>
                <a:gd name="connsiteY125" fmla="*/ 464535 h 1123950"/>
                <a:gd name="connsiteX126" fmla="*/ 227124 w 1209675"/>
                <a:gd name="connsiteY126" fmla="*/ 463467 h 1123950"/>
                <a:gd name="connsiteX127" fmla="*/ 236778 w 1209675"/>
                <a:gd name="connsiteY127" fmla="*/ 439211 h 1123950"/>
                <a:gd name="connsiteX128" fmla="*/ 243584 w 1209675"/>
                <a:gd name="connsiteY128" fmla="*/ 393866 h 1123950"/>
                <a:gd name="connsiteX129" fmla="*/ 228232 w 1209675"/>
                <a:gd name="connsiteY129" fmla="*/ 394974 h 1123950"/>
                <a:gd name="connsiteX130" fmla="*/ 228232 w 1209675"/>
                <a:gd name="connsiteY130" fmla="*/ 387416 h 1123950"/>
                <a:gd name="connsiteX131" fmla="*/ 251498 w 1209675"/>
                <a:gd name="connsiteY131" fmla="*/ 372301 h 1123950"/>
                <a:gd name="connsiteX132" fmla="*/ 274289 w 1209675"/>
                <a:gd name="connsiteY132" fmla="*/ 372815 h 1123950"/>
                <a:gd name="connsiteX133" fmla="*/ 304995 w 1209675"/>
                <a:gd name="connsiteY133" fmla="*/ 379304 h 1123950"/>
                <a:gd name="connsiteX134" fmla="*/ 317498 w 1209675"/>
                <a:gd name="connsiteY134" fmla="*/ 393866 h 1123950"/>
                <a:gd name="connsiteX135" fmla="*/ 324937 w 1209675"/>
                <a:gd name="connsiteY135" fmla="*/ 392797 h 1123950"/>
                <a:gd name="connsiteX136" fmla="*/ 363714 w 1209675"/>
                <a:gd name="connsiteY136" fmla="*/ 371193 h 1123950"/>
                <a:gd name="connsiteX137" fmla="*/ 377959 w 1209675"/>
                <a:gd name="connsiteY137" fmla="*/ 370678 h 1123950"/>
                <a:gd name="connsiteX138" fmla="*/ 377959 w 1209675"/>
                <a:gd name="connsiteY138" fmla="*/ 361499 h 1123950"/>
                <a:gd name="connsiteX139" fmla="*/ 381283 w 1209675"/>
                <a:gd name="connsiteY139" fmla="*/ 358768 h 1123950"/>
                <a:gd name="connsiteX140" fmla="*/ 392045 w 1209675"/>
                <a:gd name="connsiteY140" fmla="*/ 347452 h 1123950"/>
                <a:gd name="connsiteX141" fmla="*/ 400117 w 1209675"/>
                <a:gd name="connsiteY141" fmla="*/ 331822 h 1123950"/>
                <a:gd name="connsiteX142" fmla="*/ 389830 w 1209675"/>
                <a:gd name="connsiteY142" fmla="*/ 323711 h 1123950"/>
                <a:gd name="connsiteX143" fmla="*/ 390463 w 1209675"/>
                <a:gd name="connsiteY143" fmla="*/ 317261 h 1123950"/>
                <a:gd name="connsiteX144" fmla="*/ 398376 w 1209675"/>
                <a:gd name="connsiteY144" fmla="*/ 315639 h 1123950"/>
                <a:gd name="connsiteX145" fmla="*/ 409772 w 1209675"/>
                <a:gd name="connsiteY145" fmla="*/ 303768 h 1123950"/>
                <a:gd name="connsiteX146" fmla="*/ 417686 w 1209675"/>
                <a:gd name="connsiteY146" fmla="*/ 288653 h 1123950"/>
                <a:gd name="connsiteX147" fmla="*/ 433672 w 1209675"/>
                <a:gd name="connsiteY147" fmla="*/ 276782 h 1123950"/>
                <a:gd name="connsiteX148" fmla="*/ 436521 w 1209675"/>
                <a:gd name="connsiteY148" fmla="*/ 262775 h 1123950"/>
                <a:gd name="connsiteX149" fmla="*/ 436995 w 1209675"/>
                <a:gd name="connsiteY149" fmla="*/ 238480 h 1123950"/>
                <a:gd name="connsiteX150" fmla="*/ 433039 w 1209675"/>
                <a:gd name="connsiteY150" fmla="*/ 219606 h 1123950"/>
                <a:gd name="connsiteX151" fmla="*/ 424017 w 1209675"/>
                <a:gd name="connsiteY151" fmla="*/ 204490 h 1123950"/>
                <a:gd name="connsiteX152" fmla="*/ 418319 w 1209675"/>
                <a:gd name="connsiteY152" fmla="*/ 195864 h 1123950"/>
                <a:gd name="connsiteX153" fmla="*/ 406290 w 1209675"/>
                <a:gd name="connsiteY153" fmla="*/ 181264 h 1123950"/>
                <a:gd name="connsiteX154" fmla="*/ 394420 w 1209675"/>
                <a:gd name="connsiteY154" fmla="*/ 172084 h 1123950"/>
                <a:gd name="connsiteX155" fmla="*/ 397269 w 1209675"/>
                <a:gd name="connsiteY155" fmla="*/ 156454 h 1123950"/>
                <a:gd name="connsiteX156" fmla="*/ 423384 w 1209675"/>
                <a:gd name="connsiteY156" fmla="*/ 146206 h 1123950"/>
                <a:gd name="connsiteX157" fmla="*/ 427974 w 1209675"/>
                <a:gd name="connsiteY157" fmla="*/ 131605 h 1123950"/>
                <a:gd name="connsiteX158" fmla="*/ 437628 w 1209675"/>
                <a:gd name="connsiteY158" fmla="*/ 114353 h 1123950"/>
                <a:gd name="connsiteX159" fmla="*/ 455197 w 1209675"/>
                <a:gd name="connsiteY159" fmla="*/ 96033 h 1123950"/>
                <a:gd name="connsiteX160" fmla="*/ 455197 w 1209675"/>
                <a:gd name="connsiteY160" fmla="*/ 84162 h 1123950"/>
                <a:gd name="connsiteX161" fmla="*/ 445067 w 1209675"/>
                <a:gd name="connsiteY161" fmla="*/ 73875 h 1123950"/>
                <a:gd name="connsiteX162" fmla="*/ 434146 w 1209675"/>
                <a:gd name="connsiteY162" fmla="*/ 56623 h 1123950"/>
                <a:gd name="connsiteX163" fmla="*/ 425600 w 1209675"/>
                <a:gd name="connsiteY163" fmla="*/ 43684 h 1123950"/>
                <a:gd name="connsiteX164" fmla="*/ 424017 w 1209675"/>
                <a:gd name="connsiteY164" fmla="*/ 32367 h 1123950"/>
                <a:gd name="connsiteX165" fmla="*/ 426233 w 1209675"/>
                <a:gd name="connsiteY165" fmla="*/ 26432 h 1123950"/>
                <a:gd name="connsiteX166" fmla="*/ 438262 w 1209675"/>
                <a:gd name="connsiteY166" fmla="*/ 14007 h 1123950"/>
                <a:gd name="connsiteX167" fmla="*/ 468967 w 1209675"/>
                <a:gd name="connsiteY167" fmla="*/ 0 h 1123950"/>
                <a:gd name="connsiteX168" fmla="*/ 478622 w 1209675"/>
                <a:gd name="connsiteY168" fmla="*/ 0 h 1123950"/>
                <a:gd name="connsiteX169" fmla="*/ 498722 w 1209675"/>
                <a:gd name="connsiteY169" fmla="*/ 15432 h 1123950"/>
                <a:gd name="connsiteX170" fmla="*/ 528161 w 1209675"/>
                <a:gd name="connsiteY170" fmla="*/ 31259 h 1123950"/>
                <a:gd name="connsiteX171" fmla="*/ 545097 w 1209675"/>
                <a:gd name="connsiteY171" fmla="*/ 34504 h 1123950"/>
                <a:gd name="connsiteX172" fmla="*/ 614579 w 1209675"/>
                <a:gd name="connsiteY172" fmla="*/ 75497 h 1123950"/>
                <a:gd name="connsiteX173" fmla="*/ 596378 w 1209675"/>
                <a:gd name="connsiteY173" fmla="*/ 105727 h 1123950"/>
                <a:gd name="connsiteX174" fmla="*/ 633889 w 1209675"/>
                <a:gd name="connsiteY174" fmla="*/ 137026 h 1123950"/>
                <a:gd name="connsiteX175" fmla="*/ 625975 w 1209675"/>
                <a:gd name="connsiteY175" fmla="*/ 152141 h 1123950"/>
                <a:gd name="connsiteX176" fmla="*/ 633889 w 1209675"/>
                <a:gd name="connsiteY176" fmla="*/ 187753 h 1123950"/>
                <a:gd name="connsiteX177" fmla="*/ 652090 w 1209675"/>
                <a:gd name="connsiteY177" fmla="*/ 227678 h 1123950"/>
                <a:gd name="connsiteX178" fmla="*/ 688493 w 1209675"/>
                <a:gd name="connsiteY178" fmla="*/ 282164 h 1123950"/>
                <a:gd name="connsiteX179" fmla="*/ 725055 w 1209675"/>
                <a:gd name="connsiteY179" fmla="*/ 274092 h 1123950"/>
                <a:gd name="connsiteX180" fmla="*/ 763674 w 1209675"/>
                <a:gd name="connsiteY180" fmla="*/ 283786 h 1123950"/>
                <a:gd name="connsiteX181" fmla="*/ 798969 w 1209675"/>
                <a:gd name="connsiteY181" fmla="*/ 292451 h 1123950"/>
                <a:gd name="connsiteX182" fmla="*/ 822235 w 1209675"/>
                <a:gd name="connsiteY182" fmla="*/ 301038 h 1123950"/>
                <a:gd name="connsiteX183" fmla="*/ 827458 w 1209675"/>
                <a:gd name="connsiteY183" fmla="*/ 297833 h 1123950"/>
                <a:gd name="connsiteX184" fmla="*/ 846768 w 1209675"/>
                <a:gd name="connsiteY184" fmla="*/ 294588 h 1123950"/>
                <a:gd name="connsiteX185" fmla="*/ 850091 w 1209675"/>
                <a:gd name="connsiteY185" fmla="*/ 280541 h 1123950"/>
                <a:gd name="connsiteX186" fmla="*/ 872883 w 1209675"/>
                <a:gd name="connsiteY186" fmla="*/ 257908 h 1123950"/>
                <a:gd name="connsiteX187" fmla="*/ 898048 w 1209675"/>
                <a:gd name="connsiteY187" fmla="*/ 231991 h 1123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 ang="0">
                  <a:pos x="connsiteX169" y="connsiteY169"/>
                </a:cxn>
                <a:cxn ang="0">
                  <a:pos x="connsiteX170" y="connsiteY170"/>
                </a:cxn>
                <a:cxn ang="0">
                  <a:pos x="connsiteX171" y="connsiteY171"/>
                </a:cxn>
                <a:cxn ang="0">
                  <a:pos x="connsiteX172" y="connsiteY172"/>
                </a:cxn>
                <a:cxn ang="0">
                  <a:pos x="connsiteX173" y="connsiteY173"/>
                </a:cxn>
                <a:cxn ang="0">
                  <a:pos x="connsiteX174" y="connsiteY174"/>
                </a:cxn>
                <a:cxn ang="0">
                  <a:pos x="connsiteX175" y="connsiteY175"/>
                </a:cxn>
                <a:cxn ang="0">
                  <a:pos x="connsiteX176" y="connsiteY176"/>
                </a:cxn>
                <a:cxn ang="0">
                  <a:pos x="connsiteX177" y="connsiteY177"/>
                </a:cxn>
                <a:cxn ang="0">
                  <a:pos x="connsiteX178" y="connsiteY178"/>
                </a:cxn>
                <a:cxn ang="0">
                  <a:pos x="connsiteX179" y="connsiteY179"/>
                </a:cxn>
                <a:cxn ang="0">
                  <a:pos x="connsiteX180" y="connsiteY180"/>
                </a:cxn>
                <a:cxn ang="0">
                  <a:pos x="connsiteX181" y="connsiteY181"/>
                </a:cxn>
                <a:cxn ang="0">
                  <a:pos x="connsiteX182" y="connsiteY182"/>
                </a:cxn>
                <a:cxn ang="0">
                  <a:pos x="connsiteX183" y="connsiteY183"/>
                </a:cxn>
                <a:cxn ang="0">
                  <a:pos x="connsiteX184" y="connsiteY184"/>
                </a:cxn>
                <a:cxn ang="0">
                  <a:pos x="connsiteX185" y="connsiteY185"/>
                </a:cxn>
                <a:cxn ang="0">
                  <a:pos x="connsiteX186" y="connsiteY186"/>
                </a:cxn>
                <a:cxn ang="0">
                  <a:pos x="connsiteX187" y="connsiteY187"/>
                </a:cxn>
              </a:cxnLst>
              <a:rect l="l" t="t" r="r" b="b"/>
              <a:pathLst>
                <a:path w="1209675" h="1123950">
                  <a:moveTo>
                    <a:pt x="898048" y="231991"/>
                  </a:moveTo>
                  <a:lnTo>
                    <a:pt x="898048" y="231991"/>
                  </a:lnTo>
                  <a:lnTo>
                    <a:pt x="940149" y="258976"/>
                  </a:lnTo>
                  <a:lnTo>
                    <a:pt x="939516" y="292451"/>
                  </a:lnTo>
                  <a:lnTo>
                    <a:pt x="942365" y="303768"/>
                  </a:lnTo>
                  <a:lnTo>
                    <a:pt x="946955" y="312948"/>
                  </a:lnTo>
                  <a:lnTo>
                    <a:pt x="966898" y="325887"/>
                  </a:lnTo>
                  <a:lnTo>
                    <a:pt x="984466" y="326955"/>
                  </a:lnTo>
                  <a:lnTo>
                    <a:pt x="1002668" y="363675"/>
                  </a:lnTo>
                  <a:lnTo>
                    <a:pt x="1018020" y="406290"/>
                  </a:lnTo>
                  <a:lnTo>
                    <a:pt x="1023243" y="402531"/>
                  </a:lnTo>
                  <a:lnTo>
                    <a:pt x="1062495" y="394063"/>
                  </a:lnTo>
                  <a:lnTo>
                    <a:pt x="1105071" y="389553"/>
                  </a:lnTo>
                  <a:lnTo>
                    <a:pt x="1143848" y="376614"/>
                  </a:lnTo>
                  <a:lnTo>
                    <a:pt x="1210957" y="376614"/>
                  </a:lnTo>
                  <a:lnTo>
                    <a:pt x="1209849" y="458639"/>
                  </a:lnTo>
                  <a:lnTo>
                    <a:pt x="1208108" y="473201"/>
                  </a:lnTo>
                  <a:lnTo>
                    <a:pt x="1213806" y="489384"/>
                  </a:lnTo>
                  <a:lnTo>
                    <a:pt x="1213806" y="526064"/>
                  </a:lnTo>
                  <a:lnTo>
                    <a:pt x="1171705" y="530931"/>
                  </a:lnTo>
                  <a:lnTo>
                    <a:pt x="1123906" y="533107"/>
                  </a:lnTo>
                  <a:lnTo>
                    <a:pt x="1123906" y="554672"/>
                  </a:lnTo>
                  <a:lnTo>
                    <a:pt x="1121057" y="562230"/>
                  </a:lnTo>
                  <a:lnTo>
                    <a:pt x="1117575" y="574101"/>
                  </a:lnTo>
                  <a:lnTo>
                    <a:pt x="1113143" y="600532"/>
                  </a:lnTo>
                  <a:lnTo>
                    <a:pt x="1112510" y="603777"/>
                  </a:lnTo>
                  <a:lnTo>
                    <a:pt x="1107445" y="625896"/>
                  </a:lnTo>
                  <a:lnTo>
                    <a:pt x="1102855" y="656126"/>
                  </a:lnTo>
                  <a:lnTo>
                    <a:pt x="1114251" y="656126"/>
                  </a:lnTo>
                  <a:lnTo>
                    <a:pt x="1110769" y="692252"/>
                  </a:lnTo>
                  <a:lnTo>
                    <a:pt x="1106179" y="740289"/>
                  </a:lnTo>
                  <a:lnTo>
                    <a:pt x="1107445" y="801303"/>
                  </a:lnTo>
                  <a:lnTo>
                    <a:pt x="1103963" y="820692"/>
                  </a:lnTo>
                  <a:lnTo>
                    <a:pt x="1103330" y="850922"/>
                  </a:lnTo>
                  <a:lnTo>
                    <a:pt x="1096050" y="893577"/>
                  </a:lnTo>
                  <a:lnTo>
                    <a:pt x="1056798" y="903825"/>
                  </a:lnTo>
                  <a:lnTo>
                    <a:pt x="1055531" y="928081"/>
                  </a:lnTo>
                  <a:lnTo>
                    <a:pt x="1042553" y="922700"/>
                  </a:lnTo>
                  <a:lnTo>
                    <a:pt x="1000452" y="924322"/>
                  </a:lnTo>
                  <a:lnTo>
                    <a:pt x="972596" y="916764"/>
                  </a:lnTo>
                  <a:lnTo>
                    <a:pt x="948063" y="898959"/>
                  </a:lnTo>
                  <a:lnTo>
                    <a:pt x="898523" y="867145"/>
                  </a:lnTo>
                  <a:lnTo>
                    <a:pt x="888869" y="864415"/>
                  </a:lnTo>
                  <a:lnTo>
                    <a:pt x="850091" y="827735"/>
                  </a:lnTo>
                  <a:lnTo>
                    <a:pt x="847875" y="819070"/>
                  </a:lnTo>
                  <a:lnTo>
                    <a:pt x="832048" y="816933"/>
                  </a:lnTo>
                  <a:lnTo>
                    <a:pt x="811472" y="809929"/>
                  </a:lnTo>
                  <a:lnTo>
                    <a:pt x="782983" y="792638"/>
                  </a:lnTo>
                  <a:lnTo>
                    <a:pt x="746105" y="779699"/>
                  </a:lnTo>
                  <a:lnTo>
                    <a:pt x="693083" y="748954"/>
                  </a:lnTo>
                  <a:lnTo>
                    <a:pt x="673774" y="744601"/>
                  </a:lnTo>
                  <a:lnTo>
                    <a:pt x="671558" y="727350"/>
                  </a:lnTo>
                  <a:lnTo>
                    <a:pt x="647025" y="710612"/>
                  </a:lnTo>
                  <a:lnTo>
                    <a:pt x="609514" y="711720"/>
                  </a:lnTo>
                  <a:lnTo>
                    <a:pt x="604291" y="723591"/>
                  </a:lnTo>
                  <a:lnTo>
                    <a:pt x="582766" y="740289"/>
                  </a:lnTo>
                  <a:lnTo>
                    <a:pt x="544622" y="779184"/>
                  </a:lnTo>
                  <a:lnTo>
                    <a:pt x="516133" y="777008"/>
                  </a:lnTo>
                  <a:lnTo>
                    <a:pt x="440477" y="830980"/>
                  </a:lnTo>
                  <a:lnTo>
                    <a:pt x="451873" y="863347"/>
                  </a:lnTo>
                  <a:lnTo>
                    <a:pt x="429082" y="909761"/>
                  </a:lnTo>
                  <a:lnTo>
                    <a:pt x="410880" y="942128"/>
                  </a:lnTo>
                  <a:lnTo>
                    <a:pt x="386981" y="969114"/>
                  </a:lnTo>
                  <a:lnTo>
                    <a:pt x="388089" y="993963"/>
                  </a:lnTo>
                  <a:lnTo>
                    <a:pt x="367671" y="1001520"/>
                  </a:lnTo>
                  <a:lnTo>
                    <a:pt x="369412" y="1019287"/>
                  </a:lnTo>
                  <a:lnTo>
                    <a:pt x="358016" y="1026330"/>
                  </a:lnTo>
                  <a:lnTo>
                    <a:pt x="329527" y="1043582"/>
                  </a:lnTo>
                  <a:lnTo>
                    <a:pt x="308951" y="1066254"/>
                  </a:lnTo>
                  <a:lnTo>
                    <a:pt x="295973" y="1080301"/>
                  </a:lnTo>
                  <a:lnTo>
                    <a:pt x="284577" y="1086237"/>
                  </a:lnTo>
                  <a:lnTo>
                    <a:pt x="270333" y="1099176"/>
                  </a:lnTo>
                  <a:lnTo>
                    <a:pt x="249915" y="1117535"/>
                  </a:lnTo>
                  <a:lnTo>
                    <a:pt x="236145" y="1124539"/>
                  </a:lnTo>
                  <a:lnTo>
                    <a:pt x="233296" y="1118050"/>
                  </a:lnTo>
                  <a:lnTo>
                    <a:pt x="225857" y="1108355"/>
                  </a:lnTo>
                  <a:lnTo>
                    <a:pt x="214620" y="1085129"/>
                  </a:lnTo>
                  <a:lnTo>
                    <a:pt x="194044" y="1053870"/>
                  </a:lnTo>
                  <a:lnTo>
                    <a:pt x="187239" y="1046312"/>
                  </a:lnTo>
                  <a:lnTo>
                    <a:pt x="171886" y="1022531"/>
                  </a:lnTo>
                  <a:lnTo>
                    <a:pt x="156533" y="999898"/>
                  </a:lnTo>
                  <a:lnTo>
                    <a:pt x="146879" y="981538"/>
                  </a:lnTo>
                  <a:lnTo>
                    <a:pt x="146245" y="960488"/>
                  </a:lnTo>
                  <a:lnTo>
                    <a:pt x="139440" y="958865"/>
                  </a:lnTo>
                  <a:lnTo>
                    <a:pt x="135958" y="948617"/>
                  </a:lnTo>
                  <a:lnTo>
                    <a:pt x="127569" y="920523"/>
                  </a:lnTo>
                  <a:lnTo>
                    <a:pt x="131526" y="907031"/>
                  </a:lnTo>
                  <a:lnTo>
                    <a:pt x="133267" y="887642"/>
                  </a:lnTo>
                  <a:lnTo>
                    <a:pt x="142289" y="877354"/>
                  </a:lnTo>
                  <a:lnTo>
                    <a:pt x="141181" y="867145"/>
                  </a:lnTo>
                  <a:lnTo>
                    <a:pt x="149728" y="868174"/>
                  </a:lnTo>
                  <a:lnTo>
                    <a:pt x="159382" y="862239"/>
                  </a:lnTo>
                  <a:lnTo>
                    <a:pt x="182174" y="816933"/>
                  </a:lnTo>
                  <a:lnTo>
                    <a:pt x="166188" y="810444"/>
                  </a:lnTo>
                  <a:lnTo>
                    <a:pt x="147986" y="797505"/>
                  </a:lnTo>
                  <a:lnTo>
                    <a:pt x="130893" y="780767"/>
                  </a:lnTo>
                  <a:lnTo>
                    <a:pt x="113799" y="760825"/>
                  </a:lnTo>
                  <a:lnTo>
                    <a:pt x="97972" y="741396"/>
                  </a:lnTo>
                  <a:lnTo>
                    <a:pt x="88317" y="730594"/>
                  </a:lnTo>
                  <a:lnTo>
                    <a:pt x="67267" y="712788"/>
                  </a:lnTo>
                  <a:lnTo>
                    <a:pt x="38144" y="686357"/>
                  </a:lnTo>
                  <a:lnTo>
                    <a:pt x="25640" y="670133"/>
                  </a:lnTo>
                  <a:lnTo>
                    <a:pt x="6806" y="660954"/>
                  </a:lnTo>
                  <a:lnTo>
                    <a:pt x="0" y="650745"/>
                  </a:lnTo>
                  <a:lnTo>
                    <a:pt x="633" y="618892"/>
                  </a:lnTo>
                  <a:lnTo>
                    <a:pt x="5698" y="612957"/>
                  </a:lnTo>
                  <a:lnTo>
                    <a:pt x="14245" y="612957"/>
                  </a:lnTo>
                  <a:lnTo>
                    <a:pt x="29597" y="610781"/>
                  </a:lnTo>
                  <a:lnTo>
                    <a:pt x="42734" y="606468"/>
                  </a:lnTo>
                  <a:lnTo>
                    <a:pt x="47324" y="594597"/>
                  </a:lnTo>
                  <a:lnTo>
                    <a:pt x="41626" y="585417"/>
                  </a:lnTo>
                  <a:lnTo>
                    <a:pt x="41626" y="577899"/>
                  </a:lnTo>
                  <a:lnTo>
                    <a:pt x="51756" y="570856"/>
                  </a:lnTo>
                  <a:lnTo>
                    <a:pt x="70590" y="571410"/>
                  </a:lnTo>
                  <a:lnTo>
                    <a:pt x="87684" y="570341"/>
                  </a:lnTo>
                  <a:lnTo>
                    <a:pt x="120130" y="562784"/>
                  </a:lnTo>
                  <a:lnTo>
                    <a:pt x="154317" y="552496"/>
                  </a:lnTo>
                  <a:lnTo>
                    <a:pt x="165080" y="531485"/>
                  </a:lnTo>
                  <a:lnTo>
                    <a:pt x="185023" y="510949"/>
                  </a:lnTo>
                  <a:lnTo>
                    <a:pt x="195785" y="498010"/>
                  </a:lnTo>
                  <a:lnTo>
                    <a:pt x="198634" y="488830"/>
                  </a:lnTo>
                  <a:lnTo>
                    <a:pt x="190087" y="482895"/>
                  </a:lnTo>
                  <a:lnTo>
                    <a:pt x="172994" y="476960"/>
                  </a:lnTo>
                  <a:lnTo>
                    <a:pt x="163339" y="470470"/>
                  </a:lnTo>
                  <a:lnTo>
                    <a:pt x="167929" y="464021"/>
                  </a:lnTo>
                  <a:lnTo>
                    <a:pt x="181541" y="464535"/>
                  </a:lnTo>
                  <a:lnTo>
                    <a:pt x="227124" y="463467"/>
                  </a:lnTo>
                  <a:lnTo>
                    <a:pt x="236778" y="439211"/>
                  </a:lnTo>
                  <a:lnTo>
                    <a:pt x="243584" y="393866"/>
                  </a:lnTo>
                  <a:lnTo>
                    <a:pt x="228232" y="394974"/>
                  </a:lnTo>
                  <a:lnTo>
                    <a:pt x="228232" y="387416"/>
                  </a:lnTo>
                  <a:lnTo>
                    <a:pt x="251498" y="372301"/>
                  </a:lnTo>
                  <a:lnTo>
                    <a:pt x="274289" y="372815"/>
                  </a:lnTo>
                  <a:lnTo>
                    <a:pt x="304995" y="379304"/>
                  </a:lnTo>
                  <a:lnTo>
                    <a:pt x="317498" y="393866"/>
                  </a:lnTo>
                  <a:lnTo>
                    <a:pt x="324937" y="392797"/>
                  </a:lnTo>
                  <a:lnTo>
                    <a:pt x="363714" y="371193"/>
                  </a:lnTo>
                  <a:lnTo>
                    <a:pt x="377959" y="370678"/>
                  </a:lnTo>
                  <a:lnTo>
                    <a:pt x="377959" y="361499"/>
                  </a:lnTo>
                  <a:lnTo>
                    <a:pt x="381283" y="358768"/>
                  </a:lnTo>
                  <a:lnTo>
                    <a:pt x="392045" y="347452"/>
                  </a:lnTo>
                  <a:lnTo>
                    <a:pt x="400117" y="331822"/>
                  </a:lnTo>
                  <a:lnTo>
                    <a:pt x="389830" y="323711"/>
                  </a:lnTo>
                  <a:lnTo>
                    <a:pt x="390463" y="317261"/>
                  </a:lnTo>
                  <a:lnTo>
                    <a:pt x="398376" y="315639"/>
                  </a:lnTo>
                  <a:lnTo>
                    <a:pt x="409772" y="303768"/>
                  </a:lnTo>
                  <a:lnTo>
                    <a:pt x="417686" y="288653"/>
                  </a:lnTo>
                  <a:lnTo>
                    <a:pt x="433672" y="276782"/>
                  </a:lnTo>
                  <a:lnTo>
                    <a:pt x="436521" y="262775"/>
                  </a:lnTo>
                  <a:lnTo>
                    <a:pt x="436995" y="238480"/>
                  </a:lnTo>
                  <a:lnTo>
                    <a:pt x="433039" y="219606"/>
                  </a:lnTo>
                  <a:lnTo>
                    <a:pt x="424017" y="204490"/>
                  </a:lnTo>
                  <a:lnTo>
                    <a:pt x="418319" y="195864"/>
                  </a:lnTo>
                  <a:lnTo>
                    <a:pt x="406290" y="181264"/>
                  </a:lnTo>
                  <a:lnTo>
                    <a:pt x="394420" y="172084"/>
                  </a:lnTo>
                  <a:lnTo>
                    <a:pt x="397269" y="156454"/>
                  </a:lnTo>
                  <a:lnTo>
                    <a:pt x="423384" y="146206"/>
                  </a:lnTo>
                  <a:lnTo>
                    <a:pt x="427974" y="131605"/>
                  </a:lnTo>
                  <a:lnTo>
                    <a:pt x="437628" y="114353"/>
                  </a:lnTo>
                  <a:lnTo>
                    <a:pt x="455197" y="96033"/>
                  </a:lnTo>
                  <a:lnTo>
                    <a:pt x="455197" y="84162"/>
                  </a:lnTo>
                  <a:lnTo>
                    <a:pt x="445067" y="73875"/>
                  </a:lnTo>
                  <a:lnTo>
                    <a:pt x="434146" y="56623"/>
                  </a:lnTo>
                  <a:lnTo>
                    <a:pt x="425600" y="43684"/>
                  </a:lnTo>
                  <a:lnTo>
                    <a:pt x="424017" y="32367"/>
                  </a:lnTo>
                  <a:lnTo>
                    <a:pt x="426233" y="26432"/>
                  </a:lnTo>
                  <a:lnTo>
                    <a:pt x="438262" y="14007"/>
                  </a:lnTo>
                  <a:lnTo>
                    <a:pt x="468967" y="0"/>
                  </a:lnTo>
                  <a:lnTo>
                    <a:pt x="478622" y="0"/>
                  </a:lnTo>
                  <a:lnTo>
                    <a:pt x="498722" y="15432"/>
                  </a:lnTo>
                  <a:lnTo>
                    <a:pt x="528161" y="31259"/>
                  </a:lnTo>
                  <a:lnTo>
                    <a:pt x="545097" y="34504"/>
                  </a:lnTo>
                  <a:lnTo>
                    <a:pt x="614579" y="75497"/>
                  </a:lnTo>
                  <a:lnTo>
                    <a:pt x="596378" y="105727"/>
                  </a:lnTo>
                  <a:lnTo>
                    <a:pt x="633889" y="137026"/>
                  </a:lnTo>
                  <a:lnTo>
                    <a:pt x="625975" y="152141"/>
                  </a:lnTo>
                  <a:lnTo>
                    <a:pt x="633889" y="187753"/>
                  </a:lnTo>
                  <a:lnTo>
                    <a:pt x="652090" y="227678"/>
                  </a:lnTo>
                  <a:lnTo>
                    <a:pt x="688493" y="282164"/>
                  </a:lnTo>
                  <a:lnTo>
                    <a:pt x="725055" y="274092"/>
                  </a:lnTo>
                  <a:lnTo>
                    <a:pt x="763674" y="283786"/>
                  </a:lnTo>
                  <a:lnTo>
                    <a:pt x="798969" y="292451"/>
                  </a:lnTo>
                  <a:lnTo>
                    <a:pt x="822235" y="301038"/>
                  </a:lnTo>
                  <a:lnTo>
                    <a:pt x="827458" y="297833"/>
                  </a:lnTo>
                  <a:lnTo>
                    <a:pt x="846768" y="294588"/>
                  </a:lnTo>
                  <a:lnTo>
                    <a:pt x="850091" y="280541"/>
                  </a:lnTo>
                  <a:lnTo>
                    <a:pt x="872883" y="257908"/>
                  </a:lnTo>
                  <a:lnTo>
                    <a:pt x="898048" y="231991"/>
                  </a:lnTo>
                </a:path>
              </a:pathLst>
            </a:custGeom>
            <a:solidFill>
              <a:srgbClr val="FFFFFF"/>
            </a:solidFill>
            <a:ln w="5132" cap="flat">
              <a:solidFill>
                <a:srgbClr val="030000"/>
              </a:solidFill>
              <a:prstDash val="solid"/>
              <a:miter/>
            </a:ln>
          </xdr:spPr>
          <xdr:txBody>
            <a:bodyPr rtlCol="0" anchor="ctr"/>
            <a:lstStyle/>
            <a:p>
              <a:endParaRPr lang="en-US"/>
            </a:p>
          </xdr:txBody>
        </xdr:sp>
        <xdr:sp macro="" textlink="">
          <xdr:nvSpPr>
            <xdr:cNvPr id="126" name="9_1">
              <a:extLst>
                <a:ext uri="{FF2B5EF4-FFF2-40B4-BE49-F238E27FC236}">
                  <a16:creationId xmlns:a16="http://schemas.microsoft.com/office/drawing/2014/main" id="{A90EF260-3A4A-0F47-B2DA-A9B8473B6C9C}"/>
                </a:ext>
              </a:extLst>
            </xdr:cNvPr>
            <xdr:cNvSpPr/>
          </xdr:nvSpPr>
          <xdr:spPr>
            <a:xfrm>
              <a:off x="2700115" y="2497588"/>
              <a:ext cx="2096559" cy="2017183"/>
            </a:xfrm>
            <a:custGeom>
              <a:avLst/>
              <a:gdLst>
                <a:gd name="connsiteX0" fmla="*/ 1234065 w 2105025"/>
                <a:gd name="connsiteY0" fmla="*/ 575842 h 1924050"/>
                <a:gd name="connsiteX1" fmla="*/ 1234065 w 2105025"/>
                <a:gd name="connsiteY1" fmla="*/ 575842 h 1924050"/>
                <a:gd name="connsiteX2" fmla="*/ 1234856 w 2105025"/>
                <a:gd name="connsiteY2" fmla="*/ 578057 h 1924050"/>
                <a:gd name="connsiteX3" fmla="*/ 1234065 w 2105025"/>
                <a:gd name="connsiteY3" fmla="*/ 617151 h 1924050"/>
                <a:gd name="connsiteX4" fmla="*/ 1238971 w 2105025"/>
                <a:gd name="connsiteY4" fmla="*/ 621978 h 1924050"/>
                <a:gd name="connsiteX5" fmla="*/ 1240079 w 2105025"/>
                <a:gd name="connsiteY5" fmla="*/ 654860 h 1924050"/>
                <a:gd name="connsiteX6" fmla="*/ 1226309 w 2105025"/>
                <a:gd name="connsiteY6" fmla="*/ 668432 h 1924050"/>
                <a:gd name="connsiteX7" fmla="*/ 1221561 w 2105025"/>
                <a:gd name="connsiteY7" fmla="*/ 667918 h 1924050"/>
                <a:gd name="connsiteX8" fmla="*/ 1219820 w 2105025"/>
                <a:gd name="connsiteY8" fmla="*/ 672864 h 1924050"/>
                <a:gd name="connsiteX9" fmla="*/ 1206842 w 2105025"/>
                <a:gd name="connsiteY9" fmla="*/ 673338 h 1924050"/>
                <a:gd name="connsiteX10" fmla="*/ 1201460 w 2105025"/>
                <a:gd name="connsiteY10" fmla="*/ 677493 h 1924050"/>
                <a:gd name="connsiteX11" fmla="*/ 1201619 w 2105025"/>
                <a:gd name="connsiteY11" fmla="*/ 688691 h 1924050"/>
                <a:gd name="connsiteX12" fmla="*/ 1221245 w 2105025"/>
                <a:gd name="connsiteY12" fmla="*/ 716468 h 1924050"/>
                <a:gd name="connsiteX13" fmla="*/ 1230583 w 2105025"/>
                <a:gd name="connsiteY13" fmla="*/ 719673 h 1924050"/>
                <a:gd name="connsiteX14" fmla="*/ 1235331 w 2105025"/>
                <a:gd name="connsiteY14" fmla="*/ 733166 h 1924050"/>
                <a:gd name="connsiteX15" fmla="*/ 1253691 w 2105025"/>
                <a:gd name="connsiteY15" fmla="*/ 742465 h 1924050"/>
                <a:gd name="connsiteX16" fmla="*/ 1259705 w 2105025"/>
                <a:gd name="connsiteY16" fmla="*/ 742900 h 1924050"/>
                <a:gd name="connsiteX17" fmla="*/ 1269202 w 2105025"/>
                <a:gd name="connsiteY17" fmla="*/ 751605 h 1924050"/>
                <a:gd name="connsiteX18" fmla="*/ 1269360 w 2105025"/>
                <a:gd name="connsiteY18" fmla="*/ 760192 h 1924050"/>
                <a:gd name="connsiteX19" fmla="*/ 1274425 w 2105025"/>
                <a:gd name="connsiteY19" fmla="*/ 760587 h 1924050"/>
                <a:gd name="connsiteX20" fmla="*/ 1274741 w 2105025"/>
                <a:gd name="connsiteY20" fmla="*/ 765019 h 1924050"/>
                <a:gd name="connsiteX21" fmla="*/ 1283605 w 2105025"/>
                <a:gd name="connsiteY21" fmla="*/ 764228 h 1924050"/>
                <a:gd name="connsiteX22" fmla="*/ 1283763 w 2105025"/>
                <a:gd name="connsiteY22" fmla="*/ 760587 h 1924050"/>
                <a:gd name="connsiteX23" fmla="*/ 1288986 w 2105025"/>
                <a:gd name="connsiteY23" fmla="*/ 760389 h 1924050"/>
                <a:gd name="connsiteX24" fmla="*/ 1289303 w 2105025"/>
                <a:gd name="connsiteY24" fmla="*/ 756353 h 1924050"/>
                <a:gd name="connsiteX25" fmla="*/ 1304497 w 2105025"/>
                <a:gd name="connsiteY25" fmla="*/ 756907 h 1924050"/>
                <a:gd name="connsiteX26" fmla="*/ 1308929 w 2105025"/>
                <a:gd name="connsiteY26" fmla="*/ 760864 h 1924050"/>
                <a:gd name="connsiteX27" fmla="*/ 1313044 w 2105025"/>
                <a:gd name="connsiteY27" fmla="*/ 757184 h 1924050"/>
                <a:gd name="connsiteX28" fmla="*/ 1350396 w 2105025"/>
                <a:gd name="connsiteY28" fmla="*/ 755522 h 1924050"/>
                <a:gd name="connsiteX29" fmla="*/ 1379202 w 2105025"/>
                <a:gd name="connsiteY29" fmla="*/ 747490 h 1924050"/>
                <a:gd name="connsiteX30" fmla="*/ 1398354 w 2105025"/>
                <a:gd name="connsiteY30" fmla="*/ 745749 h 1924050"/>
                <a:gd name="connsiteX31" fmla="*/ 1417663 w 2105025"/>
                <a:gd name="connsiteY31" fmla="*/ 741555 h 1924050"/>
                <a:gd name="connsiteX32" fmla="*/ 1430008 w 2105025"/>
                <a:gd name="connsiteY32" fmla="*/ 779976 h 1924050"/>
                <a:gd name="connsiteX33" fmla="*/ 1433965 w 2105025"/>
                <a:gd name="connsiteY33" fmla="*/ 805339 h 1924050"/>
                <a:gd name="connsiteX34" fmla="*/ 1454541 w 2105025"/>
                <a:gd name="connsiteY34" fmla="*/ 829080 h 1924050"/>
                <a:gd name="connsiteX35" fmla="*/ 1460714 w 2105025"/>
                <a:gd name="connsiteY35" fmla="*/ 881944 h 1924050"/>
                <a:gd name="connsiteX36" fmla="*/ 1453908 w 2105025"/>
                <a:gd name="connsiteY36" fmla="*/ 884635 h 1924050"/>
                <a:gd name="connsiteX37" fmla="*/ 1458498 w 2105025"/>
                <a:gd name="connsiteY37" fmla="*/ 926736 h 1924050"/>
                <a:gd name="connsiteX38" fmla="*/ 1464196 w 2105025"/>
                <a:gd name="connsiteY38" fmla="*/ 976909 h 1924050"/>
                <a:gd name="connsiteX39" fmla="*/ 1471951 w 2105025"/>
                <a:gd name="connsiteY39" fmla="*/ 994635 h 1924050"/>
                <a:gd name="connsiteX40" fmla="*/ 1495376 w 2105025"/>
                <a:gd name="connsiteY40" fmla="*/ 1007851 h 1924050"/>
                <a:gd name="connsiteX41" fmla="*/ 1566283 w 2105025"/>
                <a:gd name="connsiteY41" fmla="*/ 1016715 h 1924050"/>
                <a:gd name="connsiteX42" fmla="*/ 1571822 w 2105025"/>
                <a:gd name="connsiteY42" fmla="*/ 1022610 h 1924050"/>
                <a:gd name="connsiteX43" fmla="*/ 1563750 w 2105025"/>
                <a:gd name="connsiteY43" fmla="*/ 1067046 h 1924050"/>
                <a:gd name="connsiteX44" fmla="*/ 1568657 w 2105025"/>
                <a:gd name="connsiteY44" fmla="*/ 1187057 h 1924050"/>
                <a:gd name="connsiteX45" fmla="*/ 1549189 w 2105025"/>
                <a:gd name="connsiteY45" fmla="*/ 1192755 h 1924050"/>
                <a:gd name="connsiteX46" fmla="*/ 1549031 w 2105025"/>
                <a:gd name="connsiteY46" fmla="*/ 1246133 h 1924050"/>
                <a:gd name="connsiteX47" fmla="*/ 1554887 w 2105025"/>
                <a:gd name="connsiteY47" fmla="*/ 1256263 h 1924050"/>
                <a:gd name="connsiteX48" fmla="*/ 1553621 w 2105025"/>
                <a:gd name="connsiteY48" fmla="*/ 1270626 h 1924050"/>
                <a:gd name="connsiteX49" fmla="*/ 1563908 w 2105025"/>
                <a:gd name="connsiteY49" fmla="*/ 1320918 h 1924050"/>
                <a:gd name="connsiteX50" fmla="*/ 1594614 w 2105025"/>
                <a:gd name="connsiteY50" fmla="*/ 1312529 h 1924050"/>
                <a:gd name="connsiteX51" fmla="*/ 1599995 w 2105025"/>
                <a:gd name="connsiteY51" fmla="*/ 1312846 h 1924050"/>
                <a:gd name="connsiteX52" fmla="*/ 1613448 w 2105025"/>
                <a:gd name="connsiteY52" fmla="*/ 1307465 h 1924050"/>
                <a:gd name="connsiteX53" fmla="*/ 1627693 w 2105025"/>
                <a:gd name="connsiteY53" fmla="*/ 1308493 h 1924050"/>
                <a:gd name="connsiteX54" fmla="*/ 1661247 w 2105025"/>
                <a:gd name="connsiteY54" fmla="*/ 1297968 h 1924050"/>
                <a:gd name="connsiteX55" fmla="*/ 1728039 w 2105025"/>
                <a:gd name="connsiteY55" fmla="*/ 1297731 h 1924050"/>
                <a:gd name="connsiteX56" fmla="*/ 1797047 w 2105025"/>
                <a:gd name="connsiteY56" fmla="*/ 1287759 h 1924050"/>
                <a:gd name="connsiteX57" fmla="*/ 1844054 w 2105025"/>
                <a:gd name="connsiteY57" fmla="*/ 1283328 h 1924050"/>
                <a:gd name="connsiteX58" fmla="*/ 1893277 w 2105025"/>
                <a:gd name="connsiteY58" fmla="*/ 1273831 h 1924050"/>
                <a:gd name="connsiteX59" fmla="*/ 1927306 w 2105025"/>
                <a:gd name="connsiteY59" fmla="*/ 1259587 h 1924050"/>
                <a:gd name="connsiteX60" fmla="*/ 1969249 w 2105025"/>
                <a:gd name="connsiteY60" fmla="*/ 1250288 h 1924050"/>
                <a:gd name="connsiteX61" fmla="*/ 1980803 w 2105025"/>
                <a:gd name="connsiteY61" fmla="*/ 1245817 h 1924050"/>
                <a:gd name="connsiteX62" fmla="*/ 2025120 w 2105025"/>
                <a:gd name="connsiteY62" fmla="*/ 1244669 h 1924050"/>
                <a:gd name="connsiteX63" fmla="*/ 2034300 w 2105025"/>
                <a:gd name="connsiteY63" fmla="*/ 1241068 h 1924050"/>
                <a:gd name="connsiteX64" fmla="*/ 2071336 w 2105025"/>
                <a:gd name="connsiteY64" fmla="*/ 1240752 h 1924050"/>
                <a:gd name="connsiteX65" fmla="*/ 2090012 w 2105025"/>
                <a:gd name="connsiteY65" fmla="*/ 1233273 h 1924050"/>
                <a:gd name="connsiteX66" fmla="*/ 2114545 w 2105025"/>
                <a:gd name="connsiteY66" fmla="*/ 1239327 h 1924050"/>
                <a:gd name="connsiteX67" fmla="*/ 2073552 w 2105025"/>
                <a:gd name="connsiteY67" fmla="*/ 1267777 h 1924050"/>
                <a:gd name="connsiteX68" fmla="*/ 2072444 w 2105025"/>
                <a:gd name="connsiteY68" fmla="*/ 1273159 h 1924050"/>
                <a:gd name="connsiteX69" fmla="*/ 2063897 w 2105025"/>
                <a:gd name="connsiteY69" fmla="*/ 1282338 h 1924050"/>
                <a:gd name="connsiteX70" fmla="*/ 2063580 w 2105025"/>
                <a:gd name="connsiteY70" fmla="*/ 1285464 h 1924050"/>
                <a:gd name="connsiteX71" fmla="*/ 2040631 w 2105025"/>
                <a:gd name="connsiteY71" fmla="*/ 1314072 h 1924050"/>
                <a:gd name="connsiteX72" fmla="*/ 1997264 w 2105025"/>
                <a:gd name="connsiteY72" fmla="*/ 1365630 h 1924050"/>
                <a:gd name="connsiteX73" fmla="*/ 1916702 w 2105025"/>
                <a:gd name="connsiteY73" fmla="*/ 1408404 h 1924050"/>
                <a:gd name="connsiteX74" fmla="*/ 1866529 w 2105025"/>
                <a:gd name="connsiteY74" fmla="*/ 1439663 h 1924050"/>
                <a:gd name="connsiteX75" fmla="*/ 1827910 w 2105025"/>
                <a:gd name="connsiteY75" fmla="*/ 1489599 h 1924050"/>
                <a:gd name="connsiteX76" fmla="*/ 1820313 w 2105025"/>
                <a:gd name="connsiteY76" fmla="*/ 1504556 h 1924050"/>
                <a:gd name="connsiteX77" fmla="*/ 1827752 w 2105025"/>
                <a:gd name="connsiteY77" fmla="*/ 1520700 h 1924050"/>
                <a:gd name="connsiteX78" fmla="*/ 1821104 w 2105025"/>
                <a:gd name="connsiteY78" fmla="*/ 1539257 h 1924050"/>
                <a:gd name="connsiteX79" fmla="*/ 1782802 w 2105025"/>
                <a:gd name="connsiteY79" fmla="*/ 1585236 h 1924050"/>
                <a:gd name="connsiteX80" fmla="*/ 1768557 w 2105025"/>
                <a:gd name="connsiteY80" fmla="*/ 1613369 h 1924050"/>
                <a:gd name="connsiteX81" fmla="*/ 1751622 w 2105025"/>
                <a:gd name="connsiteY81" fmla="*/ 1639089 h 1924050"/>
                <a:gd name="connsiteX82" fmla="*/ 1731679 w 2105025"/>
                <a:gd name="connsiteY82" fmla="*/ 1653967 h 1924050"/>
                <a:gd name="connsiteX83" fmla="*/ 1713478 w 2105025"/>
                <a:gd name="connsiteY83" fmla="*/ 1672880 h 1924050"/>
                <a:gd name="connsiteX84" fmla="*/ 1670744 w 2105025"/>
                <a:gd name="connsiteY84" fmla="*/ 1703586 h 1924050"/>
                <a:gd name="connsiteX85" fmla="*/ 1630858 w 2105025"/>
                <a:gd name="connsiteY85" fmla="*/ 1708927 h 1924050"/>
                <a:gd name="connsiteX86" fmla="*/ 1590657 w 2105025"/>
                <a:gd name="connsiteY86" fmla="*/ 1690647 h 1924050"/>
                <a:gd name="connsiteX87" fmla="*/ 1574038 w 2105025"/>
                <a:gd name="connsiteY87" fmla="*/ 1695751 h 1924050"/>
                <a:gd name="connsiteX88" fmla="*/ 1459131 w 2105025"/>
                <a:gd name="connsiteY88" fmla="*/ 1697136 h 1924050"/>
                <a:gd name="connsiteX89" fmla="*/ 1432857 w 2105025"/>
                <a:gd name="connsiteY89" fmla="*/ 1709006 h 1924050"/>
                <a:gd name="connsiteX90" fmla="*/ 1405634 w 2105025"/>
                <a:gd name="connsiteY90" fmla="*/ 1706870 h 1924050"/>
                <a:gd name="connsiteX91" fmla="*/ 1393130 w 2105025"/>
                <a:gd name="connsiteY91" fmla="*/ 1714388 h 1924050"/>
                <a:gd name="connsiteX92" fmla="*/ 1358943 w 2105025"/>
                <a:gd name="connsiteY92" fmla="*/ 1720877 h 1924050"/>
                <a:gd name="connsiteX93" fmla="*/ 1311144 w 2105025"/>
                <a:gd name="connsiteY93" fmla="*/ 1733816 h 1924050"/>
                <a:gd name="connsiteX94" fmla="*/ 1234856 w 2105025"/>
                <a:gd name="connsiteY94" fmla="*/ 1802903 h 1924050"/>
                <a:gd name="connsiteX95" fmla="*/ 1220137 w 2105025"/>
                <a:gd name="connsiteY95" fmla="*/ 1825575 h 1924050"/>
                <a:gd name="connsiteX96" fmla="*/ 1183734 w 2105025"/>
                <a:gd name="connsiteY96" fmla="*/ 1860079 h 1924050"/>
                <a:gd name="connsiteX97" fmla="*/ 1158568 w 2105025"/>
                <a:gd name="connsiteY97" fmla="*/ 1885997 h 1924050"/>
                <a:gd name="connsiteX98" fmla="*/ 1135776 w 2105025"/>
                <a:gd name="connsiteY98" fmla="*/ 1908630 h 1924050"/>
                <a:gd name="connsiteX99" fmla="*/ 1132453 w 2105025"/>
                <a:gd name="connsiteY99" fmla="*/ 1922677 h 1924050"/>
                <a:gd name="connsiteX100" fmla="*/ 1113143 w 2105025"/>
                <a:gd name="connsiteY100" fmla="*/ 1925921 h 1924050"/>
                <a:gd name="connsiteX101" fmla="*/ 1107920 w 2105025"/>
                <a:gd name="connsiteY101" fmla="*/ 1929126 h 1924050"/>
                <a:gd name="connsiteX102" fmla="*/ 1084654 w 2105025"/>
                <a:gd name="connsiteY102" fmla="*/ 1920540 h 1924050"/>
                <a:gd name="connsiteX103" fmla="*/ 1049359 w 2105025"/>
                <a:gd name="connsiteY103" fmla="*/ 1911875 h 1924050"/>
                <a:gd name="connsiteX104" fmla="*/ 1010740 w 2105025"/>
                <a:gd name="connsiteY104" fmla="*/ 1902180 h 1924050"/>
                <a:gd name="connsiteX105" fmla="*/ 974178 w 2105025"/>
                <a:gd name="connsiteY105" fmla="*/ 1910252 h 1924050"/>
                <a:gd name="connsiteX106" fmla="*/ 937775 w 2105025"/>
                <a:gd name="connsiteY106" fmla="*/ 1855766 h 1924050"/>
                <a:gd name="connsiteX107" fmla="*/ 919574 w 2105025"/>
                <a:gd name="connsiteY107" fmla="*/ 1815842 h 1924050"/>
                <a:gd name="connsiteX108" fmla="*/ 911660 w 2105025"/>
                <a:gd name="connsiteY108" fmla="*/ 1780230 h 1924050"/>
                <a:gd name="connsiteX109" fmla="*/ 919574 w 2105025"/>
                <a:gd name="connsiteY109" fmla="*/ 1765115 h 1924050"/>
                <a:gd name="connsiteX110" fmla="*/ 882063 w 2105025"/>
                <a:gd name="connsiteY110" fmla="*/ 1733816 h 1924050"/>
                <a:gd name="connsiteX111" fmla="*/ 900264 w 2105025"/>
                <a:gd name="connsiteY111" fmla="*/ 1703586 h 1924050"/>
                <a:gd name="connsiteX112" fmla="*/ 830782 w 2105025"/>
                <a:gd name="connsiteY112" fmla="*/ 1662592 h 1924050"/>
                <a:gd name="connsiteX113" fmla="*/ 813847 w 2105025"/>
                <a:gd name="connsiteY113" fmla="*/ 1659348 h 1924050"/>
                <a:gd name="connsiteX114" fmla="*/ 784407 w 2105025"/>
                <a:gd name="connsiteY114" fmla="*/ 1643520 h 1924050"/>
                <a:gd name="connsiteX115" fmla="*/ 764307 w 2105025"/>
                <a:gd name="connsiteY115" fmla="*/ 1628089 h 1924050"/>
                <a:gd name="connsiteX116" fmla="*/ 754652 w 2105025"/>
                <a:gd name="connsiteY116" fmla="*/ 1628089 h 1924050"/>
                <a:gd name="connsiteX117" fmla="*/ 737558 w 2105025"/>
                <a:gd name="connsiteY117" fmla="*/ 1621599 h 1924050"/>
                <a:gd name="connsiteX118" fmla="*/ 696565 w 2105025"/>
                <a:gd name="connsiteY118" fmla="*/ 1610797 h 1924050"/>
                <a:gd name="connsiteX119" fmla="*/ 643069 w 2105025"/>
                <a:gd name="connsiteY119" fmla="*/ 1608661 h 1924050"/>
                <a:gd name="connsiteX120" fmla="*/ 578176 w 2105025"/>
                <a:gd name="connsiteY120" fmla="*/ 1604348 h 1924050"/>
                <a:gd name="connsiteX121" fmla="*/ 525787 w 2105025"/>
                <a:gd name="connsiteY121" fmla="*/ 1607592 h 1924050"/>
                <a:gd name="connsiteX122" fmla="*/ 422276 w 2105025"/>
                <a:gd name="connsiteY122" fmla="*/ 1602171 h 1924050"/>
                <a:gd name="connsiteX123" fmla="*/ 407556 w 2105025"/>
                <a:gd name="connsiteY123" fmla="*/ 1605416 h 1924050"/>
                <a:gd name="connsiteX124" fmla="*/ 349470 w 2105025"/>
                <a:gd name="connsiteY124" fmla="*/ 1605416 h 1924050"/>
                <a:gd name="connsiteX125" fmla="*/ 284577 w 2105025"/>
                <a:gd name="connsiteY125" fmla="*/ 1600035 h 1924050"/>
                <a:gd name="connsiteX126" fmla="*/ 210663 w 2105025"/>
                <a:gd name="connsiteY126" fmla="*/ 1593545 h 1924050"/>
                <a:gd name="connsiteX127" fmla="*/ 165080 w 2105025"/>
                <a:gd name="connsiteY127" fmla="*/ 1590301 h 1924050"/>
                <a:gd name="connsiteX128" fmla="*/ 69482 w 2105025"/>
                <a:gd name="connsiteY128" fmla="*/ 1557934 h 1924050"/>
                <a:gd name="connsiteX129" fmla="*/ 0 w 2105025"/>
                <a:gd name="connsiteY129" fmla="*/ 1537437 h 1924050"/>
                <a:gd name="connsiteX130" fmla="*/ 19468 w 2105025"/>
                <a:gd name="connsiteY130" fmla="*/ 1470527 h 1924050"/>
                <a:gd name="connsiteX131" fmla="*/ 105886 w 2105025"/>
                <a:gd name="connsiteY131" fmla="*/ 1444649 h 1924050"/>
                <a:gd name="connsiteX132" fmla="*/ 160490 w 2105025"/>
                <a:gd name="connsiteY132" fmla="*/ 1407929 h 1924050"/>
                <a:gd name="connsiteX133" fmla="*/ 199267 w 2105025"/>
                <a:gd name="connsiteY133" fmla="*/ 1373425 h 1924050"/>
                <a:gd name="connsiteX134" fmla="*/ 227757 w 2105025"/>
                <a:gd name="connsiteY134" fmla="*/ 1357242 h 1924050"/>
                <a:gd name="connsiteX135" fmla="*/ 221901 w 2105025"/>
                <a:gd name="connsiteY135" fmla="*/ 1328080 h 1924050"/>
                <a:gd name="connsiteX136" fmla="*/ 235670 w 2105025"/>
                <a:gd name="connsiteY136" fmla="*/ 1300026 h 1924050"/>
                <a:gd name="connsiteX137" fmla="*/ 279987 w 2105025"/>
                <a:gd name="connsiteY137" fmla="*/ 1276284 h 1924050"/>
                <a:gd name="connsiteX138" fmla="*/ 339182 w 2105025"/>
                <a:gd name="connsiteY138" fmla="*/ 1264453 h 1924050"/>
                <a:gd name="connsiteX139" fmla="*/ 364189 w 2105025"/>
                <a:gd name="connsiteY139" fmla="*/ 1239604 h 1924050"/>
                <a:gd name="connsiteX140" fmla="*/ 421168 w 2105025"/>
                <a:gd name="connsiteY140" fmla="*/ 1223460 h 1924050"/>
                <a:gd name="connsiteX141" fmla="*/ 479255 w 2105025"/>
                <a:gd name="connsiteY141" fmla="*/ 1187809 h 1924050"/>
                <a:gd name="connsiteX142" fmla="*/ 486060 w 2105025"/>
                <a:gd name="connsiteY142" fmla="*/ 1145748 h 1924050"/>
                <a:gd name="connsiteX143" fmla="*/ 482578 w 2105025"/>
                <a:gd name="connsiteY143" fmla="*/ 1098265 h 1924050"/>
                <a:gd name="connsiteX144" fmla="*/ 447283 w 2105025"/>
                <a:gd name="connsiteY144" fmla="*/ 1070211 h 1924050"/>
                <a:gd name="connsiteX145" fmla="*/ 440477 w 2105025"/>
                <a:gd name="connsiteY145" fmla="*/ 1070211 h 1924050"/>
                <a:gd name="connsiteX146" fmla="*/ 421168 w 2105025"/>
                <a:gd name="connsiteY146" fmla="*/ 1046470 h 1924050"/>
                <a:gd name="connsiteX147" fmla="*/ 415470 w 2105025"/>
                <a:gd name="connsiteY147" fmla="*/ 1027082 h 1924050"/>
                <a:gd name="connsiteX148" fmla="*/ 379067 w 2105025"/>
                <a:gd name="connsiteY148" fmla="*/ 1000056 h 1924050"/>
                <a:gd name="connsiteX149" fmla="*/ 368779 w 2105025"/>
                <a:gd name="connsiteY149" fmla="*/ 917002 h 1924050"/>
                <a:gd name="connsiteX150" fmla="*/ 377959 w 2105025"/>
                <a:gd name="connsiteY150" fmla="*/ 896505 h 1924050"/>
                <a:gd name="connsiteX151" fmla="*/ 379067 w 2105025"/>
                <a:gd name="connsiteY151" fmla="*/ 883566 h 1924050"/>
                <a:gd name="connsiteX152" fmla="*/ 390463 w 2105025"/>
                <a:gd name="connsiteY152" fmla="*/ 868451 h 1924050"/>
                <a:gd name="connsiteX153" fmla="*/ 401858 w 2105025"/>
                <a:gd name="connsiteY153" fmla="*/ 831771 h 1924050"/>
                <a:gd name="connsiteX154" fmla="*/ 395053 w 2105025"/>
                <a:gd name="connsiteY154" fmla="*/ 784328 h 1924050"/>
                <a:gd name="connsiteX155" fmla="*/ 399484 w 2105025"/>
                <a:gd name="connsiteY155" fmla="*/ 750853 h 1924050"/>
                <a:gd name="connsiteX156" fmla="*/ 401858 w 2105025"/>
                <a:gd name="connsiteY156" fmla="*/ 710929 h 1924050"/>
                <a:gd name="connsiteX157" fmla="*/ 400592 w 2105025"/>
                <a:gd name="connsiteY157" fmla="*/ 613867 h 1924050"/>
                <a:gd name="connsiteX158" fmla="*/ 408664 w 2105025"/>
                <a:gd name="connsiteY158" fmla="*/ 503787 h 1924050"/>
                <a:gd name="connsiteX159" fmla="*/ 348362 w 2105025"/>
                <a:gd name="connsiteY159" fmla="*/ 484399 h 1924050"/>
                <a:gd name="connsiteX160" fmla="*/ 335858 w 2105025"/>
                <a:gd name="connsiteY160" fmla="*/ 339815 h 1924050"/>
                <a:gd name="connsiteX161" fmla="*/ 342664 w 2105025"/>
                <a:gd name="connsiteY161" fmla="*/ 327944 h 1924050"/>
                <a:gd name="connsiteX162" fmla="*/ 325570 w 2105025"/>
                <a:gd name="connsiteY162" fmla="*/ 270768 h 1924050"/>
                <a:gd name="connsiteX163" fmla="*/ 307369 w 2105025"/>
                <a:gd name="connsiteY163" fmla="*/ 82026 h 1924050"/>
                <a:gd name="connsiteX164" fmla="*/ 302779 w 2105025"/>
                <a:gd name="connsiteY164" fmla="*/ 9734 h 1924050"/>
                <a:gd name="connsiteX165" fmla="*/ 320980 w 2105025"/>
                <a:gd name="connsiteY165" fmla="*/ 1108 h 1924050"/>
                <a:gd name="connsiteX166" fmla="*/ 370995 w 2105025"/>
                <a:gd name="connsiteY166" fmla="*/ 0 h 1924050"/>
                <a:gd name="connsiteX167" fmla="*/ 429082 w 2105025"/>
                <a:gd name="connsiteY167" fmla="*/ 11910 h 1924050"/>
                <a:gd name="connsiteX168" fmla="*/ 499672 w 2105025"/>
                <a:gd name="connsiteY168" fmla="*/ 32367 h 1924050"/>
                <a:gd name="connsiteX169" fmla="*/ 559975 w 2105025"/>
                <a:gd name="connsiteY169" fmla="*/ 26986 h 1924050"/>
                <a:gd name="connsiteX170" fmla="*/ 635155 w 2105025"/>
                <a:gd name="connsiteY170" fmla="*/ 6489 h 1924050"/>
                <a:gd name="connsiteX171" fmla="*/ 713659 w 2105025"/>
                <a:gd name="connsiteY171" fmla="*/ 16184 h 1924050"/>
                <a:gd name="connsiteX172" fmla="*/ 766048 w 2105025"/>
                <a:gd name="connsiteY172" fmla="*/ 70116 h 1924050"/>
                <a:gd name="connsiteX173" fmla="*/ 817170 w 2105025"/>
                <a:gd name="connsiteY173" fmla="*/ 231951 h 1924050"/>
                <a:gd name="connsiteX174" fmla="*/ 867343 w 2105025"/>
                <a:gd name="connsiteY174" fmla="*/ 303135 h 1924050"/>
                <a:gd name="connsiteX175" fmla="*/ 929862 w 2105025"/>
                <a:gd name="connsiteY175" fmla="*/ 352754 h 1924050"/>
                <a:gd name="connsiteX176" fmla="*/ 994754 w 2105025"/>
                <a:gd name="connsiteY176" fmla="*/ 403481 h 1924050"/>
                <a:gd name="connsiteX177" fmla="*/ 1033373 w 2105025"/>
                <a:gd name="connsiteY177" fmla="*/ 417488 h 1924050"/>
                <a:gd name="connsiteX178" fmla="*/ 1071042 w 2105025"/>
                <a:gd name="connsiteY178" fmla="*/ 450924 h 1924050"/>
                <a:gd name="connsiteX179" fmla="*/ 1073258 w 2105025"/>
                <a:gd name="connsiteY179" fmla="*/ 498406 h 1924050"/>
                <a:gd name="connsiteX180" fmla="*/ 1061862 w 2105025"/>
                <a:gd name="connsiteY180" fmla="*/ 539399 h 1924050"/>
                <a:gd name="connsiteX181" fmla="*/ 1039071 w 2105025"/>
                <a:gd name="connsiteY181" fmla="*/ 538331 h 1924050"/>
                <a:gd name="connsiteX182" fmla="*/ 1025459 w 2105025"/>
                <a:gd name="connsiteY182" fmla="*/ 571766 h 1924050"/>
                <a:gd name="connsiteX183" fmla="*/ 1027675 w 2105025"/>
                <a:gd name="connsiteY183" fmla="*/ 635392 h 1924050"/>
                <a:gd name="connsiteX184" fmla="*/ 1047143 w 2105025"/>
                <a:gd name="connsiteY184" fmla="*/ 649439 h 1924050"/>
                <a:gd name="connsiteX185" fmla="*/ 1142741 w 2105025"/>
                <a:gd name="connsiteY185" fmla="*/ 665623 h 1924050"/>
                <a:gd name="connsiteX186" fmla="*/ 1158568 w 2105025"/>
                <a:gd name="connsiteY186" fmla="*/ 638637 h 1924050"/>
                <a:gd name="connsiteX187" fmla="*/ 1196237 w 2105025"/>
                <a:gd name="connsiteY187" fmla="*/ 620317 h 1924050"/>
                <a:gd name="connsiteX188" fmla="*/ 1234065 w 2105025"/>
                <a:gd name="connsiteY188" fmla="*/ 575842 h 19240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 ang="0">
                  <a:pos x="connsiteX169" y="connsiteY169"/>
                </a:cxn>
                <a:cxn ang="0">
                  <a:pos x="connsiteX170" y="connsiteY170"/>
                </a:cxn>
                <a:cxn ang="0">
                  <a:pos x="connsiteX171" y="connsiteY171"/>
                </a:cxn>
                <a:cxn ang="0">
                  <a:pos x="connsiteX172" y="connsiteY172"/>
                </a:cxn>
                <a:cxn ang="0">
                  <a:pos x="connsiteX173" y="connsiteY173"/>
                </a:cxn>
                <a:cxn ang="0">
                  <a:pos x="connsiteX174" y="connsiteY174"/>
                </a:cxn>
                <a:cxn ang="0">
                  <a:pos x="connsiteX175" y="connsiteY175"/>
                </a:cxn>
                <a:cxn ang="0">
                  <a:pos x="connsiteX176" y="connsiteY176"/>
                </a:cxn>
                <a:cxn ang="0">
                  <a:pos x="connsiteX177" y="connsiteY177"/>
                </a:cxn>
                <a:cxn ang="0">
                  <a:pos x="connsiteX178" y="connsiteY178"/>
                </a:cxn>
                <a:cxn ang="0">
                  <a:pos x="connsiteX179" y="connsiteY179"/>
                </a:cxn>
                <a:cxn ang="0">
                  <a:pos x="connsiteX180" y="connsiteY180"/>
                </a:cxn>
                <a:cxn ang="0">
                  <a:pos x="connsiteX181" y="connsiteY181"/>
                </a:cxn>
                <a:cxn ang="0">
                  <a:pos x="connsiteX182" y="connsiteY182"/>
                </a:cxn>
                <a:cxn ang="0">
                  <a:pos x="connsiteX183" y="connsiteY183"/>
                </a:cxn>
                <a:cxn ang="0">
                  <a:pos x="connsiteX184" y="connsiteY184"/>
                </a:cxn>
                <a:cxn ang="0">
                  <a:pos x="connsiteX185" y="connsiteY185"/>
                </a:cxn>
                <a:cxn ang="0">
                  <a:pos x="connsiteX186" y="connsiteY186"/>
                </a:cxn>
                <a:cxn ang="0">
                  <a:pos x="connsiteX187" y="connsiteY187"/>
                </a:cxn>
                <a:cxn ang="0">
                  <a:pos x="connsiteX188" y="connsiteY188"/>
                </a:cxn>
              </a:cxnLst>
              <a:rect l="l" t="t" r="r" b="b"/>
              <a:pathLst>
                <a:path w="2105025" h="1924050">
                  <a:moveTo>
                    <a:pt x="1234065" y="575842"/>
                  </a:moveTo>
                  <a:lnTo>
                    <a:pt x="1234065" y="575842"/>
                  </a:lnTo>
                  <a:lnTo>
                    <a:pt x="1234856" y="578057"/>
                  </a:lnTo>
                  <a:lnTo>
                    <a:pt x="1234065" y="617151"/>
                  </a:lnTo>
                  <a:lnTo>
                    <a:pt x="1238971" y="621978"/>
                  </a:lnTo>
                  <a:lnTo>
                    <a:pt x="1240079" y="654860"/>
                  </a:lnTo>
                  <a:lnTo>
                    <a:pt x="1226309" y="668432"/>
                  </a:lnTo>
                  <a:lnTo>
                    <a:pt x="1221561" y="667918"/>
                  </a:lnTo>
                  <a:lnTo>
                    <a:pt x="1219820" y="672864"/>
                  </a:lnTo>
                  <a:lnTo>
                    <a:pt x="1206842" y="673338"/>
                  </a:lnTo>
                  <a:lnTo>
                    <a:pt x="1201460" y="677493"/>
                  </a:lnTo>
                  <a:lnTo>
                    <a:pt x="1201619" y="688691"/>
                  </a:lnTo>
                  <a:lnTo>
                    <a:pt x="1221245" y="716468"/>
                  </a:lnTo>
                  <a:lnTo>
                    <a:pt x="1230583" y="719673"/>
                  </a:lnTo>
                  <a:lnTo>
                    <a:pt x="1235331" y="733166"/>
                  </a:lnTo>
                  <a:lnTo>
                    <a:pt x="1253691" y="742465"/>
                  </a:lnTo>
                  <a:lnTo>
                    <a:pt x="1259705" y="742900"/>
                  </a:lnTo>
                  <a:lnTo>
                    <a:pt x="1269202" y="751605"/>
                  </a:lnTo>
                  <a:lnTo>
                    <a:pt x="1269360" y="760192"/>
                  </a:lnTo>
                  <a:lnTo>
                    <a:pt x="1274425" y="760587"/>
                  </a:lnTo>
                  <a:lnTo>
                    <a:pt x="1274741" y="765019"/>
                  </a:lnTo>
                  <a:lnTo>
                    <a:pt x="1283605" y="764228"/>
                  </a:lnTo>
                  <a:lnTo>
                    <a:pt x="1283763" y="760587"/>
                  </a:lnTo>
                  <a:lnTo>
                    <a:pt x="1288986" y="760389"/>
                  </a:lnTo>
                  <a:lnTo>
                    <a:pt x="1289303" y="756353"/>
                  </a:lnTo>
                  <a:lnTo>
                    <a:pt x="1304497" y="756907"/>
                  </a:lnTo>
                  <a:lnTo>
                    <a:pt x="1308929" y="760864"/>
                  </a:lnTo>
                  <a:lnTo>
                    <a:pt x="1313044" y="757184"/>
                  </a:lnTo>
                  <a:lnTo>
                    <a:pt x="1350396" y="755522"/>
                  </a:lnTo>
                  <a:lnTo>
                    <a:pt x="1379202" y="747490"/>
                  </a:lnTo>
                  <a:lnTo>
                    <a:pt x="1398354" y="745749"/>
                  </a:lnTo>
                  <a:lnTo>
                    <a:pt x="1417663" y="741555"/>
                  </a:lnTo>
                  <a:lnTo>
                    <a:pt x="1430008" y="779976"/>
                  </a:lnTo>
                  <a:lnTo>
                    <a:pt x="1433965" y="805339"/>
                  </a:lnTo>
                  <a:lnTo>
                    <a:pt x="1454541" y="829080"/>
                  </a:lnTo>
                  <a:lnTo>
                    <a:pt x="1460714" y="881944"/>
                  </a:lnTo>
                  <a:lnTo>
                    <a:pt x="1453908" y="884635"/>
                  </a:lnTo>
                  <a:lnTo>
                    <a:pt x="1458498" y="926736"/>
                  </a:lnTo>
                  <a:lnTo>
                    <a:pt x="1464196" y="976909"/>
                  </a:lnTo>
                  <a:lnTo>
                    <a:pt x="1471951" y="994635"/>
                  </a:lnTo>
                  <a:lnTo>
                    <a:pt x="1495376" y="1007851"/>
                  </a:lnTo>
                  <a:lnTo>
                    <a:pt x="1566283" y="1016715"/>
                  </a:lnTo>
                  <a:lnTo>
                    <a:pt x="1571822" y="1022610"/>
                  </a:lnTo>
                  <a:lnTo>
                    <a:pt x="1563750" y="1067046"/>
                  </a:lnTo>
                  <a:lnTo>
                    <a:pt x="1568657" y="1187057"/>
                  </a:lnTo>
                  <a:lnTo>
                    <a:pt x="1549189" y="1192755"/>
                  </a:lnTo>
                  <a:lnTo>
                    <a:pt x="1549031" y="1246133"/>
                  </a:lnTo>
                  <a:lnTo>
                    <a:pt x="1554887" y="1256263"/>
                  </a:lnTo>
                  <a:lnTo>
                    <a:pt x="1553621" y="1270626"/>
                  </a:lnTo>
                  <a:lnTo>
                    <a:pt x="1563908" y="1320918"/>
                  </a:lnTo>
                  <a:lnTo>
                    <a:pt x="1594614" y="1312529"/>
                  </a:lnTo>
                  <a:lnTo>
                    <a:pt x="1599995" y="1312846"/>
                  </a:lnTo>
                  <a:lnTo>
                    <a:pt x="1613448" y="1307465"/>
                  </a:lnTo>
                  <a:lnTo>
                    <a:pt x="1627693" y="1308493"/>
                  </a:lnTo>
                  <a:lnTo>
                    <a:pt x="1661247" y="1297968"/>
                  </a:lnTo>
                  <a:lnTo>
                    <a:pt x="1728039" y="1297731"/>
                  </a:lnTo>
                  <a:lnTo>
                    <a:pt x="1797047" y="1287759"/>
                  </a:lnTo>
                  <a:lnTo>
                    <a:pt x="1844054" y="1283328"/>
                  </a:lnTo>
                  <a:lnTo>
                    <a:pt x="1893277" y="1273831"/>
                  </a:lnTo>
                  <a:lnTo>
                    <a:pt x="1927306" y="1259587"/>
                  </a:lnTo>
                  <a:lnTo>
                    <a:pt x="1969249" y="1250288"/>
                  </a:lnTo>
                  <a:lnTo>
                    <a:pt x="1980803" y="1245817"/>
                  </a:lnTo>
                  <a:lnTo>
                    <a:pt x="2025120" y="1244669"/>
                  </a:lnTo>
                  <a:lnTo>
                    <a:pt x="2034300" y="1241068"/>
                  </a:lnTo>
                  <a:lnTo>
                    <a:pt x="2071336" y="1240752"/>
                  </a:lnTo>
                  <a:lnTo>
                    <a:pt x="2090012" y="1233273"/>
                  </a:lnTo>
                  <a:lnTo>
                    <a:pt x="2114545" y="1239327"/>
                  </a:lnTo>
                  <a:lnTo>
                    <a:pt x="2073552" y="1267777"/>
                  </a:lnTo>
                  <a:lnTo>
                    <a:pt x="2072444" y="1273159"/>
                  </a:lnTo>
                  <a:lnTo>
                    <a:pt x="2063897" y="1282338"/>
                  </a:lnTo>
                  <a:lnTo>
                    <a:pt x="2063580" y="1285464"/>
                  </a:lnTo>
                  <a:lnTo>
                    <a:pt x="2040631" y="1314072"/>
                  </a:lnTo>
                  <a:lnTo>
                    <a:pt x="1997264" y="1365630"/>
                  </a:lnTo>
                  <a:lnTo>
                    <a:pt x="1916702" y="1408404"/>
                  </a:lnTo>
                  <a:lnTo>
                    <a:pt x="1866529" y="1439663"/>
                  </a:lnTo>
                  <a:lnTo>
                    <a:pt x="1827910" y="1489599"/>
                  </a:lnTo>
                  <a:lnTo>
                    <a:pt x="1820313" y="1504556"/>
                  </a:lnTo>
                  <a:lnTo>
                    <a:pt x="1827752" y="1520700"/>
                  </a:lnTo>
                  <a:lnTo>
                    <a:pt x="1821104" y="1539257"/>
                  </a:lnTo>
                  <a:lnTo>
                    <a:pt x="1782802" y="1585236"/>
                  </a:lnTo>
                  <a:lnTo>
                    <a:pt x="1768557" y="1613369"/>
                  </a:lnTo>
                  <a:lnTo>
                    <a:pt x="1751622" y="1639089"/>
                  </a:lnTo>
                  <a:lnTo>
                    <a:pt x="1731679" y="1653967"/>
                  </a:lnTo>
                  <a:lnTo>
                    <a:pt x="1713478" y="1672880"/>
                  </a:lnTo>
                  <a:lnTo>
                    <a:pt x="1670744" y="1703586"/>
                  </a:lnTo>
                  <a:lnTo>
                    <a:pt x="1630858" y="1708927"/>
                  </a:lnTo>
                  <a:lnTo>
                    <a:pt x="1590657" y="1690647"/>
                  </a:lnTo>
                  <a:lnTo>
                    <a:pt x="1574038" y="1695751"/>
                  </a:lnTo>
                  <a:lnTo>
                    <a:pt x="1459131" y="1697136"/>
                  </a:lnTo>
                  <a:lnTo>
                    <a:pt x="1432857" y="1709006"/>
                  </a:lnTo>
                  <a:lnTo>
                    <a:pt x="1405634" y="1706870"/>
                  </a:lnTo>
                  <a:lnTo>
                    <a:pt x="1393130" y="1714388"/>
                  </a:lnTo>
                  <a:lnTo>
                    <a:pt x="1358943" y="1720877"/>
                  </a:lnTo>
                  <a:lnTo>
                    <a:pt x="1311144" y="1733816"/>
                  </a:lnTo>
                  <a:lnTo>
                    <a:pt x="1234856" y="1802903"/>
                  </a:lnTo>
                  <a:lnTo>
                    <a:pt x="1220137" y="1825575"/>
                  </a:lnTo>
                  <a:lnTo>
                    <a:pt x="1183734" y="1860079"/>
                  </a:lnTo>
                  <a:lnTo>
                    <a:pt x="1158568" y="1885997"/>
                  </a:lnTo>
                  <a:lnTo>
                    <a:pt x="1135776" y="1908630"/>
                  </a:lnTo>
                  <a:lnTo>
                    <a:pt x="1132453" y="1922677"/>
                  </a:lnTo>
                  <a:lnTo>
                    <a:pt x="1113143" y="1925921"/>
                  </a:lnTo>
                  <a:lnTo>
                    <a:pt x="1107920" y="1929126"/>
                  </a:lnTo>
                  <a:lnTo>
                    <a:pt x="1084654" y="1920540"/>
                  </a:lnTo>
                  <a:lnTo>
                    <a:pt x="1049359" y="1911875"/>
                  </a:lnTo>
                  <a:lnTo>
                    <a:pt x="1010740" y="1902180"/>
                  </a:lnTo>
                  <a:lnTo>
                    <a:pt x="974178" y="1910252"/>
                  </a:lnTo>
                  <a:lnTo>
                    <a:pt x="937775" y="1855766"/>
                  </a:lnTo>
                  <a:lnTo>
                    <a:pt x="919574" y="1815842"/>
                  </a:lnTo>
                  <a:lnTo>
                    <a:pt x="911660" y="1780230"/>
                  </a:lnTo>
                  <a:lnTo>
                    <a:pt x="919574" y="1765115"/>
                  </a:lnTo>
                  <a:lnTo>
                    <a:pt x="882063" y="1733816"/>
                  </a:lnTo>
                  <a:lnTo>
                    <a:pt x="900264" y="1703586"/>
                  </a:lnTo>
                  <a:lnTo>
                    <a:pt x="830782" y="1662592"/>
                  </a:lnTo>
                  <a:lnTo>
                    <a:pt x="813847" y="1659348"/>
                  </a:lnTo>
                  <a:lnTo>
                    <a:pt x="784407" y="1643520"/>
                  </a:lnTo>
                  <a:lnTo>
                    <a:pt x="764307" y="1628089"/>
                  </a:lnTo>
                  <a:lnTo>
                    <a:pt x="754652" y="1628089"/>
                  </a:lnTo>
                  <a:lnTo>
                    <a:pt x="737558" y="1621599"/>
                  </a:lnTo>
                  <a:lnTo>
                    <a:pt x="696565" y="1610797"/>
                  </a:lnTo>
                  <a:lnTo>
                    <a:pt x="643069" y="1608661"/>
                  </a:lnTo>
                  <a:lnTo>
                    <a:pt x="578176" y="1604348"/>
                  </a:lnTo>
                  <a:lnTo>
                    <a:pt x="525787" y="1607592"/>
                  </a:lnTo>
                  <a:lnTo>
                    <a:pt x="422276" y="1602171"/>
                  </a:lnTo>
                  <a:lnTo>
                    <a:pt x="407556" y="1605416"/>
                  </a:lnTo>
                  <a:lnTo>
                    <a:pt x="349470" y="1605416"/>
                  </a:lnTo>
                  <a:lnTo>
                    <a:pt x="284577" y="1600035"/>
                  </a:lnTo>
                  <a:lnTo>
                    <a:pt x="210663" y="1593545"/>
                  </a:lnTo>
                  <a:lnTo>
                    <a:pt x="165080" y="1590301"/>
                  </a:lnTo>
                  <a:lnTo>
                    <a:pt x="69482" y="1557934"/>
                  </a:lnTo>
                  <a:lnTo>
                    <a:pt x="0" y="1537437"/>
                  </a:lnTo>
                  <a:lnTo>
                    <a:pt x="19468" y="1470527"/>
                  </a:lnTo>
                  <a:lnTo>
                    <a:pt x="105886" y="1444649"/>
                  </a:lnTo>
                  <a:lnTo>
                    <a:pt x="160490" y="1407929"/>
                  </a:lnTo>
                  <a:lnTo>
                    <a:pt x="199267" y="1373425"/>
                  </a:lnTo>
                  <a:lnTo>
                    <a:pt x="227757" y="1357242"/>
                  </a:lnTo>
                  <a:lnTo>
                    <a:pt x="221901" y="1328080"/>
                  </a:lnTo>
                  <a:lnTo>
                    <a:pt x="235670" y="1300026"/>
                  </a:lnTo>
                  <a:lnTo>
                    <a:pt x="279987" y="1276284"/>
                  </a:lnTo>
                  <a:lnTo>
                    <a:pt x="339182" y="1264453"/>
                  </a:lnTo>
                  <a:lnTo>
                    <a:pt x="364189" y="1239604"/>
                  </a:lnTo>
                  <a:lnTo>
                    <a:pt x="421168" y="1223460"/>
                  </a:lnTo>
                  <a:lnTo>
                    <a:pt x="479255" y="1187809"/>
                  </a:lnTo>
                  <a:lnTo>
                    <a:pt x="486060" y="1145748"/>
                  </a:lnTo>
                  <a:lnTo>
                    <a:pt x="482578" y="1098265"/>
                  </a:lnTo>
                  <a:lnTo>
                    <a:pt x="447283" y="1070211"/>
                  </a:lnTo>
                  <a:lnTo>
                    <a:pt x="440477" y="1070211"/>
                  </a:lnTo>
                  <a:lnTo>
                    <a:pt x="421168" y="1046470"/>
                  </a:lnTo>
                  <a:lnTo>
                    <a:pt x="415470" y="1027082"/>
                  </a:lnTo>
                  <a:lnTo>
                    <a:pt x="379067" y="1000056"/>
                  </a:lnTo>
                  <a:lnTo>
                    <a:pt x="368779" y="917002"/>
                  </a:lnTo>
                  <a:lnTo>
                    <a:pt x="377959" y="896505"/>
                  </a:lnTo>
                  <a:lnTo>
                    <a:pt x="379067" y="883566"/>
                  </a:lnTo>
                  <a:lnTo>
                    <a:pt x="390463" y="868451"/>
                  </a:lnTo>
                  <a:lnTo>
                    <a:pt x="401858" y="831771"/>
                  </a:lnTo>
                  <a:lnTo>
                    <a:pt x="395053" y="784328"/>
                  </a:lnTo>
                  <a:lnTo>
                    <a:pt x="399484" y="750853"/>
                  </a:lnTo>
                  <a:lnTo>
                    <a:pt x="401858" y="710929"/>
                  </a:lnTo>
                  <a:lnTo>
                    <a:pt x="400592" y="613867"/>
                  </a:lnTo>
                  <a:lnTo>
                    <a:pt x="408664" y="503787"/>
                  </a:lnTo>
                  <a:lnTo>
                    <a:pt x="348362" y="484399"/>
                  </a:lnTo>
                  <a:lnTo>
                    <a:pt x="335858" y="339815"/>
                  </a:lnTo>
                  <a:lnTo>
                    <a:pt x="342664" y="327944"/>
                  </a:lnTo>
                  <a:lnTo>
                    <a:pt x="325570" y="270768"/>
                  </a:lnTo>
                  <a:lnTo>
                    <a:pt x="307369" y="82026"/>
                  </a:lnTo>
                  <a:lnTo>
                    <a:pt x="302779" y="9734"/>
                  </a:lnTo>
                  <a:lnTo>
                    <a:pt x="320980" y="1108"/>
                  </a:lnTo>
                  <a:lnTo>
                    <a:pt x="370995" y="0"/>
                  </a:lnTo>
                  <a:lnTo>
                    <a:pt x="429082" y="11910"/>
                  </a:lnTo>
                  <a:lnTo>
                    <a:pt x="499672" y="32367"/>
                  </a:lnTo>
                  <a:lnTo>
                    <a:pt x="559975" y="26986"/>
                  </a:lnTo>
                  <a:lnTo>
                    <a:pt x="635155" y="6489"/>
                  </a:lnTo>
                  <a:lnTo>
                    <a:pt x="713659" y="16184"/>
                  </a:lnTo>
                  <a:lnTo>
                    <a:pt x="766048" y="70116"/>
                  </a:lnTo>
                  <a:lnTo>
                    <a:pt x="817170" y="231951"/>
                  </a:lnTo>
                  <a:lnTo>
                    <a:pt x="867343" y="303135"/>
                  </a:lnTo>
                  <a:lnTo>
                    <a:pt x="929862" y="352754"/>
                  </a:lnTo>
                  <a:lnTo>
                    <a:pt x="994754" y="403481"/>
                  </a:lnTo>
                  <a:lnTo>
                    <a:pt x="1033373" y="417488"/>
                  </a:lnTo>
                  <a:lnTo>
                    <a:pt x="1071042" y="450924"/>
                  </a:lnTo>
                  <a:lnTo>
                    <a:pt x="1073258" y="498406"/>
                  </a:lnTo>
                  <a:lnTo>
                    <a:pt x="1061862" y="539399"/>
                  </a:lnTo>
                  <a:lnTo>
                    <a:pt x="1039071" y="538331"/>
                  </a:lnTo>
                  <a:lnTo>
                    <a:pt x="1025459" y="571766"/>
                  </a:lnTo>
                  <a:lnTo>
                    <a:pt x="1027675" y="635392"/>
                  </a:lnTo>
                  <a:lnTo>
                    <a:pt x="1047143" y="649439"/>
                  </a:lnTo>
                  <a:lnTo>
                    <a:pt x="1142741" y="665623"/>
                  </a:lnTo>
                  <a:lnTo>
                    <a:pt x="1158568" y="638637"/>
                  </a:lnTo>
                  <a:lnTo>
                    <a:pt x="1196237" y="620317"/>
                  </a:lnTo>
                  <a:lnTo>
                    <a:pt x="1234065" y="575842"/>
                  </a:lnTo>
                </a:path>
              </a:pathLst>
            </a:custGeom>
            <a:solidFill>
              <a:srgbClr val="FFFFFF"/>
            </a:solidFill>
            <a:ln w="5132" cap="flat">
              <a:solidFill>
                <a:srgbClr val="030000"/>
              </a:solidFill>
              <a:prstDash val="solid"/>
              <a:miter/>
            </a:ln>
          </xdr:spPr>
          <xdr:txBody>
            <a:bodyPr rtlCol="0" anchor="ctr"/>
            <a:lstStyle/>
            <a:p>
              <a:endParaRPr lang="en-US"/>
            </a:p>
          </xdr:txBody>
        </xdr:sp>
        <xdr:sp macro="" textlink="">
          <xdr:nvSpPr>
            <xdr:cNvPr id="127" name="8_1">
              <a:extLst>
                <a:ext uri="{FF2B5EF4-FFF2-40B4-BE49-F238E27FC236}">
                  <a16:creationId xmlns:a16="http://schemas.microsoft.com/office/drawing/2014/main" id="{9EA9D3E4-9461-5642-94F1-F88980EC1B49}"/>
                </a:ext>
              </a:extLst>
            </xdr:cNvPr>
            <xdr:cNvSpPr/>
          </xdr:nvSpPr>
          <xdr:spPr>
            <a:xfrm>
              <a:off x="3897343" y="2862447"/>
              <a:ext cx="1296458" cy="1013883"/>
            </a:xfrm>
            <a:custGeom>
              <a:avLst/>
              <a:gdLst>
                <a:gd name="connsiteX0" fmla="*/ 888552 w 1304925"/>
                <a:gd name="connsiteY0" fmla="*/ 885347 h 971550"/>
                <a:gd name="connsiteX1" fmla="*/ 888552 w 1304925"/>
                <a:gd name="connsiteY1" fmla="*/ 885347 h 971550"/>
                <a:gd name="connsiteX2" fmla="*/ 869876 w 1304925"/>
                <a:gd name="connsiteY2" fmla="*/ 892825 h 971550"/>
                <a:gd name="connsiteX3" fmla="*/ 832839 w 1304925"/>
                <a:gd name="connsiteY3" fmla="*/ 893142 h 971550"/>
                <a:gd name="connsiteX4" fmla="*/ 823660 w 1304925"/>
                <a:gd name="connsiteY4" fmla="*/ 896743 h 971550"/>
                <a:gd name="connsiteX5" fmla="*/ 779343 w 1304925"/>
                <a:gd name="connsiteY5" fmla="*/ 897890 h 971550"/>
                <a:gd name="connsiteX6" fmla="*/ 767789 w 1304925"/>
                <a:gd name="connsiteY6" fmla="*/ 902361 h 971550"/>
                <a:gd name="connsiteX7" fmla="*/ 725846 w 1304925"/>
                <a:gd name="connsiteY7" fmla="*/ 911660 h 971550"/>
                <a:gd name="connsiteX8" fmla="*/ 691817 w 1304925"/>
                <a:gd name="connsiteY8" fmla="*/ 925905 h 971550"/>
                <a:gd name="connsiteX9" fmla="*/ 642594 w 1304925"/>
                <a:gd name="connsiteY9" fmla="*/ 935401 h 971550"/>
                <a:gd name="connsiteX10" fmla="*/ 595586 w 1304925"/>
                <a:gd name="connsiteY10" fmla="*/ 939833 h 971550"/>
                <a:gd name="connsiteX11" fmla="*/ 526579 w 1304925"/>
                <a:gd name="connsiteY11" fmla="*/ 949804 h 971550"/>
                <a:gd name="connsiteX12" fmla="*/ 459787 w 1304925"/>
                <a:gd name="connsiteY12" fmla="*/ 950042 h 971550"/>
                <a:gd name="connsiteX13" fmla="*/ 426233 w 1304925"/>
                <a:gd name="connsiteY13" fmla="*/ 960567 h 971550"/>
                <a:gd name="connsiteX14" fmla="*/ 411988 w 1304925"/>
                <a:gd name="connsiteY14" fmla="*/ 959538 h 971550"/>
                <a:gd name="connsiteX15" fmla="*/ 398535 w 1304925"/>
                <a:gd name="connsiteY15" fmla="*/ 964919 h 971550"/>
                <a:gd name="connsiteX16" fmla="*/ 393153 w 1304925"/>
                <a:gd name="connsiteY16" fmla="*/ 964603 h 971550"/>
                <a:gd name="connsiteX17" fmla="*/ 362448 w 1304925"/>
                <a:gd name="connsiteY17" fmla="*/ 972991 h 971550"/>
                <a:gd name="connsiteX18" fmla="*/ 352160 w 1304925"/>
                <a:gd name="connsiteY18" fmla="*/ 922700 h 971550"/>
                <a:gd name="connsiteX19" fmla="*/ 353427 w 1304925"/>
                <a:gd name="connsiteY19" fmla="*/ 908336 h 971550"/>
                <a:gd name="connsiteX20" fmla="*/ 347570 w 1304925"/>
                <a:gd name="connsiteY20" fmla="*/ 898207 h 971550"/>
                <a:gd name="connsiteX21" fmla="*/ 347729 w 1304925"/>
                <a:gd name="connsiteY21" fmla="*/ 844829 h 971550"/>
                <a:gd name="connsiteX22" fmla="*/ 367196 w 1304925"/>
                <a:gd name="connsiteY22" fmla="*/ 839131 h 971550"/>
                <a:gd name="connsiteX23" fmla="*/ 362290 w 1304925"/>
                <a:gd name="connsiteY23" fmla="*/ 719119 h 971550"/>
                <a:gd name="connsiteX24" fmla="*/ 370362 w 1304925"/>
                <a:gd name="connsiteY24" fmla="*/ 674684 h 971550"/>
                <a:gd name="connsiteX25" fmla="*/ 364822 w 1304925"/>
                <a:gd name="connsiteY25" fmla="*/ 668788 h 971550"/>
                <a:gd name="connsiteX26" fmla="*/ 293915 w 1304925"/>
                <a:gd name="connsiteY26" fmla="*/ 659925 h 971550"/>
                <a:gd name="connsiteX27" fmla="*/ 270491 w 1304925"/>
                <a:gd name="connsiteY27" fmla="*/ 646709 h 971550"/>
                <a:gd name="connsiteX28" fmla="*/ 262735 w 1304925"/>
                <a:gd name="connsiteY28" fmla="*/ 628982 h 971550"/>
                <a:gd name="connsiteX29" fmla="*/ 257037 w 1304925"/>
                <a:gd name="connsiteY29" fmla="*/ 578809 h 971550"/>
                <a:gd name="connsiteX30" fmla="*/ 252448 w 1304925"/>
                <a:gd name="connsiteY30" fmla="*/ 536708 h 971550"/>
                <a:gd name="connsiteX31" fmla="*/ 259253 w 1304925"/>
                <a:gd name="connsiteY31" fmla="*/ 534018 h 971550"/>
                <a:gd name="connsiteX32" fmla="*/ 253081 w 1304925"/>
                <a:gd name="connsiteY32" fmla="*/ 481154 h 971550"/>
                <a:gd name="connsiteX33" fmla="*/ 232505 w 1304925"/>
                <a:gd name="connsiteY33" fmla="*/ 457413 h 971550"/>
                <a:gd name="connsiteX34" fmla="*/ 228548 w 1304925"/>
                <a:gd name="connsiteY34" fmla="*/ 432049 h 971550"/>
                <a:gd name="connsiteX35" fmla="*/ 216203 w 1304925"/>
                <a:gd name="connsiteY35" fmla="*/ 393628 h 971550"/>
                <a:gd name="connsiteX36" fmla="*/ 196893 w 1304925"/>
                <a:gd name="connsiteY36" fmla="*/ 397822 h 971550"/>
                <a:gd name="connsiteX37" fmla="*/ 177742 w 1304925"/>
                <a:gd name="connsiteY37" fmla="*/ 399563 h 971550"/>
                <a:gd name="connsiteX38" fmla="*/ 148936 w 1304925"/>
                <a:gd name="connsiteY38" fmla="*/ 407596 h 971550"/>
                <a:gd name="connsiteX39" fmla="*/ 111583 w 1304925"/>
                <a:gd name="connsiteY39" fmla="*/ 409258 h 971550"/>
                <a:gd name="connsiteX40" fmla="*/ 107468 w 1304925"/>
                <a:gd name="connsiteY40" fmla="*/ 412938 h 971550"/>
                <a:gd name="connsiteX41" fmla="*/ 103037 w 1304925"/>
                <a:gd name="connsiteY41" fmla="*/ 408981 h 971550"/>
                <a:gd name="connsiteX42" fmla="*/ 87842 w 1304925"/>
                <a:gd name="connsiteY42" fmla="*/ 408427 h 971550"/>
                <a:gd name="connsiteX43" fmla="*/ 87526 w 1304925"/>
                <a:gd name="connsiteY43" fmla="*/ 412463 h 971550"/>
                <a:gd name="connsiteX44" fmla="*/ 82303 w 1304925"/>
                <a:gd name="connsiteY44" fmla="*/ 412661 h 971550"/>
                <a:gd name="connsiteX45" fmla="*/ 82144 w 1304925"/>
                <a:gd name="connsiteY45" fmla="*/ 416301 h 971550"/>
                <a:gd name="connsiteX46" fmla="*/ 73281 w 1304925"/>
                <a:gd name="connsiteY46" fmla="*/ 417092 h 971550"/>
                <a:gd name="connsiteX47" fmla="*/ 72964 w 1304925"/>
                <a:gd name="connsiteY47" fmla="*/ 412661 h 971550"/>
                <a:gd name="connsiteX48" fmla="*/ 67900 w 1304925"/>
                <a:gd name="connsiteY48" fmla="*/ 412265 h 971550"/>
                <a:gd name="connsiteX49" fmla="*/ 67741 w 1304925"/>
                <a:gd name="connsiteY49" fmla="*/ 403679 h 971550"/>
                <a:gd name="connsiteX50" fmla="*/ 58245 w 1304925"/>
                <a:gd name="connsiteY50" fmla="*/ 394974 h 971550"/>
                <a:gd name="connsiteX51" fmla="*/ 52231 w 1304925"/>
                <a:gd name="connsiteY51" fmla="*/ 394538 h 971550"/>
                <a:gd name="connsiteX52" fmla="*/ 33871 w 1304925"/>
                <a:gd name="connsiteY52" fmla="*/ 385240 h 971550"/>
                <a:gd name="connsiteX53" fmla="*/ 29122 w 1304925"/>
                <a:gd name="connsiteY53" fmla="*/ 371747 h 971550"/>
                <a:gd name="connsiteX54" fmla="*/ 19784 w 1304925"/>
                <a:gd name="connsiteY54" fmla="*/ 368542 h 971550"/>
                <a:gd name="connsiteX55" fmla="*/ 158 w 1304925"/>
                <a:gd name="connsiteY55" fmla="*/ 340765 h 971550"/>
                <a:gd name="connsiteX56" fmla="*/ 0 w 1304925"/>
                <a:gd name="connsiteY56" fmla="*/ 329567 h 971550"/>
                <a:gd name="connsiteX57" fmla="*/ 5381 w 1304925"/>
                <a:gd name="connsiteY57" fmla="*/ 325412 h 971550"/>
                <a:gd name="connsiteX58" fmla="*/ 18360 w 1304925"/>
                <a:gd name="connsiteY58" fmla="*/ 324937 h 971550"/>
                <a:gd name="connsiteX59" fmla="*/ 20101 w 1304925"/>
                <a:gd name="connsiteY59" fmla="*/ 319991 h 971550"/>
                <a:gd name="connsiteX60" fmla="*/ 24849 w 1304925"/>
                <a:gd name="connsiteY60" fmla="*/ 320505 h 971550"/>
                <a:gd name="connsiteX61" fmla="*/ 38619 w 1304925"/>
                <a:gd name="connsiteY61" fmla="*/ 306933 h 971550"/>
                <a:gd name="connsiteX62" fmla="*/ 37511 w 1304925"/>
                <a:gd name="connsiteY62" fmla="*/ 274052 h 971550"/>
                <a:gd name="connsiteX63" fmla="*/ 32605 w 1304925"/>
                <a:gd name="connsiteY63" fmla="*/ 269225 h 971550"/>
                <a:gd name="connsiteX64" fmla="*/ 33396 w 1304925"/>
                <a:gd name="connsiteY64" fmla="*/ 230131 h 971550"/>
                <a:gd name="connsiteX65" fmla="*/ 32605 w 1304925"/>
                <a:gd name="connsiteY65" fmla="*/ 227915 h 971550"/>
                <a:gd name="connsiteX66" fmla="*/ 62360 w 1304925"/>
                <a:gd name="connsiteY66" fmla="*/ 212285 h 971550"/>
                <a:gd name="connsiteX67" fmla="*/ 102720 w 1304925"/>
                <a:gd name="connsiteY67" fmla="*/ 183994 h 971550"/>
                <a:gd name="connsiteX68" fmla="*/ 141814 w 1304925"/>
                <a:gd name="connsiteY68" fmla="*/ 168008 h 971550"/>
                <a:gd name="connsiteX69" fmla="*/ 192778 w 1304925"/>
                <a:gd name="connsiteY69" fmla="*/ 161756 h 971550"/>
                <a:gd name="connsiteX70" fmla="*/ 245167 w 1304925"/>
                <a:gd name="connsiteY70" fmla="*/ 166069 h 971550"/>
                <a:gd name="connsiteX71" fmla="*/ 341873 w 1304925"/>
                <a:gd name="connsiteY71" fmla="*/ 188782 h 971550"/>
                <a:gd name="connsiteX72" fmla="*/ 404391 w 1304925"/>
                <a:gd name="connsiteY72" fmla="*/ 198476 h 971550"/>
                <a:gd name="connsiteX73" fmla="*/ 444909 w 1304925"/>
                <a:gd name="connsiteY73" fmla="*/ 198476 h 971550"/>
                <a:gd name="connsiteX74" fmla="*/ 495557 w 1304925"/>
                <a:gd name="connsiteY74" fmla="*/ 190918 h 971550"/>
                <a:gd name="connsiteX75" fmla="*/ 550636 w 1304925"/>
                <a:gd name="connsiteY75" fmla="*/ 180116 h 971550"/>
                <a:gd name="connsiteX76" fmla="*/ 604133 w 1304925"/>
                <a:gd name="connsiteY76" fmla="*/ 173113 h 971550"/>
                <a:gd name="connsiteX77" fmla="*/ 672982 w 1304925"/>
                <a:gd name="connsiteY77" fmla="*/ 163418 h 971550"/>
                <a:gd name="connsiteX78" fmla="*/ 716824 w 1304925"/>
                <a:gd name="connsiteY78" fmla="*/ 160174 h 971550"/>
                <a:gd name="connsiteX79" fmla="*/ 772062 w 1304925"/>
                <a:gd name="connsiteY79" fmla="*/ 170422 h 971550"/>
                <a:gd name="connsiteX80" fmla="*/ 847717 w 1304925"/>
                <a:gd name="connsiteY80" fmla="*/ 190404 h 971550"/>
                <a:gd name="connsiteX81" fmla="*/ 886969 w 1304925"/>
                <a:gd name="connsiteY81" fmla="*/ 189296 h 971550"/>
                <a:gd name="connsiteX82" fmla="*/ 932552 w 1304925"/>
                <a:gd name="connsiteY82" fmla="*/ 160174 h 971550"/>
                <a:gd name="connsiteX83" fmla="*/ 956926 w 1304925"/>
                <a:gd name="connsiteY83" fmla="*/ 108418 h 971550"/>
                <a:gd name="connsiteX84" fmla="*/ 970696 w 1304925"/>
                <a:gd name="connsiteY84" fmla="*/ 79295 h 971550"/>
                <a:gd name="connsiteX85" fmla="*/ 983675 w 1304925"/>
                <a:gd name="connsiteY85" fmla="*/ 61490 h 971550"/>
                <a:gd name="connsiteX86" fmla="*/ 1021819 w 1304925"/>
                <a:gd name="connsiteY86" fmla="*/ 35572 h 971550"/>
                <a:gd name="connsiteX87" fmla="*/ 1075316 w 1304925"/>
                <a:gd name="connsiteY87" fmla="*/ 5935 h 971550"/>
                <a:gd name="connsiteX88" fmla="*/ 1104913 w 1304925"/>
                <a:gd name="connsiteY88" fmla="*/ 0 h 971550"/>
                <a:gd name="connsiteX89" fmla="*/ 1136251 w 1304925"/>
                <a:gd name="connsiteY89" fmla="*/ 0 h 971550"/>
                <a:gd name="connsiteX90" fmla="*/ 1165849 w 1304925"/>
                <a:gd name="connsiteY90" fmla="*/ 14007 h 971550"/>
                <a:gd name="connsiteX91" fmla="*/ 1219345 w 1304925"/>
                <a:gd name="connsiteY91" fmla="*/ 36126 h 971550"/>
                <a:gd name="connsiteX92" fmla="*/ 1257489 w 1304925"/>
                <a:gd name="connsiteY92" fmla="*/ 53378 h 971550"/>
                <a:gd name="connsiteX93" fmla="*/ 1289936 w 1304925"/>
                <a:gd name="connsiteY93" fmla="*/ 65763 h 971550"/>
                <a:gd name="connsiteX94" fmla="*/ 1306871 w 1304925"/>
                <a:gd name="connsiteY94" fmla="*/ 69562 h 971550"/>
                <a:gd name="connsiteX95" fmla="*/ 1297849 w 1304925"/>
                <a:gd name="connsiteY95" fmla="*/ 120288 h 971550"/>
                <a:gd name="connsiteX96" fmla="*/ 1291518 w 1304925"/>
                <a:gd name="connsiteY96" fmla="*/ 208210 h 971550"/>
                <a:gd name="connsiteX97" fmla="*/ 1218079 w 1304925"/>
                <a:gd name="connsiteY97" fmla="*/ 207656 h 971550"/>
                <a:gd name="connsiteX98" fmla="*/ 1218712 w 1304925"/>
                <a:gd name="connsiteY98" fmla="*/ 216836 h 971550"/>
                <a:gd name="connsiteX99" fmla="*/ 1186266 w 1304925"/>
                <a:gd name="connsiteY99" fmla="*/ 262696 h 971550"/>
                <a:gd name="connsiteX100" fmla="*/ 1168064 w 1304925"/>
                <a:gd name="connsiteY100" fmla="*/ 278879 h 971550"/>
                <a:gd name="connsiteX101" fmla="*/ 1205101 w 1304925"/>
                <a:gd name="connsiteY101" fmla="*/ 333880 h 971550"/>
                <a:gd name="connsiteX102" fmla="*/ 1164108 w 1304925"/>
                <a:gd name="connsiteY102" fmla="*/ 361934 h 971550"/>
                <a:gd name="connsiteX103" fmla="*/ 1108870 w 1304925"/>
                <a:gd name="connsiteY103" fmla="*/ 390502 h 971550"/>
                <a:gd name="connsiteX104" fmla="*/ 1001402 w 1304925"/>
                <a:gd name="connsiteY104" fmla="*/ 446611 h 971550"/>
                <a:gd name="connsiteX105" fmla="*/ 1008207 w 1304925"/>
                <a:gd name="connsiteY105" fmla="*/ 482222 h 971550"/>
                <a:gd name="connsiteX106" fmla="*/ 941574 w 1304925"/>
                <a:gd name="connsiteY106" fmla="*/ 520525 h 971550"/>
                <a:gd name="connsiteX107" fmla="*/ 898840 w 1304925"/>
                <a:gd name="connsiteY107" fmla="*/ 389434 h 971550"/>
                <a:gd name="connsiteX108" fmla="*/ 896149 w 1304925"/>
                <a:gd name="connsiteY108" fmla="*/ 347887 h 971550"/>
                <a:gd name="connsiteX109" fmla="*/ 890926 w 1304925"/>
                <a:gd name="connsiteY109" fmla="*/ 337639 h 971550"/>
                <a:gd name="connsiteX110" fmla="*/ 581342 w 1304925"/>
                <a:gd name="connsiteY110" fmla="*/ 333880 h 971550"/>
                <a:gd name="connsiteX111" fmla="*/ 560291 w 1304925"/>
                <a:gd name="connsiteY111" fmla="*/ 345196 h 971550"/>
                <a:gd name="connsiteX112" fmla="*/ 539241 w 1304925"/>
                <a:gd name="connsiteY112" fmla="*/ 374873 h 971550"/>
                <a:gd name="connsiteX113" fmla="*/ 533068 w 1304925"/>
                <a:gd name="connsiteY113" fmla="*/ 402927 h 971550"/>
                <a:gd name="connsiteX114" fmla="*/ 616004 w 1304925"/>
                <a:gd name="connsiteY114" fmla="*/ 509762 h 971550"/>
                <a:gd name="connsiteX115" fmla="*/ 613313 w 1304925"/>
                <a:gd name="connsiteY115" fmla="*/ 511345 h 971550"/>
                <a:gd name="connsiteX116" fmla="*/ 580867 w 1304925"/>
                <a:gd name="connsiteY116" fmla="*/ 525906 h 971550"/>
                <a:gd name="connsiteX117" fmla="*/ 575169 w 1304925"/>
                <a:gd name="connsiteY117" fmla="*/ 559341 h 971550"/>
                <a:gd name="connsiteX118" fmla="*/ 579126 w 1304925"/>
                <a:gd name="connsiteY118" fmla="*/ 579878 h 971550"/>
                <a:gd name="connsiteX119" fmla="*/ 573428 w 1304925"/>
                <a:gd name="connsiteY119" fmla="*/ 583122 h 971550"/>
                <a:gd name="connsiteX120" fmla="*/ 575644 w 1304925"/>
                <a:gd name="connsiteY120" fmla="*/ 707170 h 971550"/>
                <a:gd name="connsiteX121" fmla="*/ 571212 w 1304925"/>
                <a:gd name="connsiteY121" fmla="*/ 744404 h 971550"/>
                <a:gd name="connsiteX122" fmla="*/ 596219 w 1304925"/>
                <a:gd name="connsiteY122" fmla="*/ 751961 h 971550"/>
                <a:gd name="connsiteX123" fmla="*/ 612680 w 1304925"/>
                <a:gd name="connsiteY123" fmla="*/ 753069 h 971550"/>
                <a:gd name="connsiteX124" fmla="*/ 676464 w 1304925"/>
                <a:gd name="connsiteY124" fmla="*/ 779461 h 971550"/>
                <a:gd name="connsiteX125" fmla="*/ 731069 w 1304925"/>
                <a:gd name="connsiteY125" fmla="*/ 796713 h 971550"/>
                <a:gd name="connsiteX126" fmla="*/ 751486 w 1304925"/>
                <a:gd name="connsiteY126" fmla="*/ 808069 h 971550"/>
                <a:gd name="connsiteX127" fmla="*/ 782192 w 1304925"/>
                <a:gd name="connsiteY127" fmla="*/ 832879 h 971550"/>
                <a:gd name="connsiteX128" fmla="*/ 794854 w 1304925"/>
                <a:gd name="connsiteY128" fmla="*/ 838814 h 971550"/>
                <a:gd name="connsiteX129" fmla="*/ 827458 w 1304925"/>
                <a:gd name="connsiteY129" fmla="*/ 875494 h 971550"/>
                <a:gd name="connsiteX130" fmla="*/ 847401 w 1304925"/>
                <a:gd name="connsiteY130" fmla="*/ 874307 h 971550"/>
                <a:gd name="connsiteX131" fmla="*/ 857688 w 1304925"/>
                <a:gd name="connsiteY131" fmla="*/ 877315 h 971550"/>
                <a:gd name="connsiteX132" fmla="*/ 871933 w 1304925"/>
                <a:gd name="connsiteY132" fmla="*/ 877987 h 971550"/>
                <a:gd name="connsiteX133" fmla="*/ 888552 w 1304925"/>
                <a:gd name="connsiteY133" fmla="*/ 885347 h 9715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Lst>
              <a:rect l="l" t="t" r="r" b="b"/>
              <a:pathLst>
                <a:path w="1304925" h="971550">
                  <a:moveTo>
                    <a:pt x="888552" y="885347"/>
                  </a:moveTo>
                  <a:lnTo>
                    <a:pt x="888552" y="885347"/>
                  </a:lnTo>
                  <a:lnTo>
                    <a:pt x="869876" y="892825"/>
                  </a:lnTo>
                  <a:lnTo>
                    <a:pt x="832839" y="893142"/>
                  </a:lnTo>
                  <a:lnTo>
                    <a:pt x="823660" y="896743"/>
                  </a:lnTo>
                  <a:lnTo>
                    <a:pt x="779343" y="897890"/>
                  </a:lnTo>
                  <a:lnTo>
                    <a:pt x="767789" y="902361"/>
                  </a:lnTo>
                  <a:lnTo>
                    <a:pt x="725846" y="911660"/>
                  </a:lnTo>
                  <a:lnTo>
                    <a:pt x="691817" y="925905"/>
                  </a:lnTo>
                  <a:lnTo>
                    <a:pt x="642594" y="935401"/>
                  </a:lnTo>
                  <a:lnTo>
                    <a:pt x="595586" y="939833"/>
                  </a:lnTo>
                  <a:lnTo>
                    <a:pt x="526579" y="949804"/>
                  </a:lnTo>
                  <a:lnTo>
                    <a:pt x="459787" y="950042"/>
                  </a:lnTo>
                  <a:lnTo>
                    <a:pt x="426233" y="960567"/>
                  </a:lnTo>
                  <a:lnTo>
                    <a:pt x="411988" y="959538"/>
                  </a:lnTo>
                  <a:lnTo>
                    <a:pt x="398535" y="964919"/>
                  </a:lnTo>
                  <a:lnTo>
                    <a:pt x="393153" y="964603"/>
                  </a:lnTo>
                  <a:lnTo>
                    <a:pt x="362448" y="972991"/>
                  </a:lnTo>
                  <a:lnTo>
                    <a:pt x="352160" y="922700"/>
                  </a:lnTo>
                  <a:lnTo>
                    <a:pt x="353427" y="908336"/>
                  </a:lnTo>
                  <a:lnTo>
                    <a:pt x="347570" y="898207"/>
                  </a:lnTo>
                  <a:lnTo>
                    <a:pt x="347729" y="844829"/>
                  </a:lnTo>
                  <a:lnTo>
                    <a:pt x="367196" y="839131"/>
                  </a:lnTo>
                  <a:lnTo>
                    <a:pt x="362290" y="719119"/>
                  </a:lnTo>
                  <a:lnTo>
                    <a:pt x="370362" y="674684"/>
                  </a:lnTo>
                  <a:lnTo>
                    <a:pt x="364822" y="668788"/>
                  </a:lnTo>
                  <a:lnTo>
                    <a:pt x="293915" y="659925"/>
                  </a:lnTo>
                  <a:lnTo>
                    <a:pt x="270491" y="646709"/>
                  </a:lnTo>
                  <a:lnTo>
                    <a:pt x="262735" y="628982"/>
                  </a:lnTo>
                  <a:lnTo>
                    <a:pt x="257037" y="578809"/>
                  </a:lnTo>
                  <a:lnTo>
                    <a:pt x="252448" y="536708"/>
                  </a:lnTo>
                  <a:lnTo>
                    <a:pt x="259253" y="534018"/>
                  </a:lnTo>
                  <a:lnTo>
                    <a:pt x="253081" y="481154"/>
                  </a:lnTo>
                  <a:lnTo>
                    <a:pt x="232505" y="457413"/>
                  </a:lnTo>
                  <a:lnTo>
                    <a:pt x="228548" y="432049"/>
                  </a:lnTo>
                  <a:lnTo>
                    <a:pt x="216203" y="393628"/>
                  </a:lnTo>
                  <a:lnTo>
                    <a:pt x="196893" y="397822"/>
                  </a:lnTo>
                  <a:lnTo>
                    <a:pt x="177742" y="399563"/>
                  </a:lnTo>
                  <a:lnTo>
                    <a:pt x="148936" y="407596"/>
                  </a:lnTo>
                  <a:lnTo>
                    <a:pt x="111583" y="409258"/>
                  </a:lnTo>
                  <a:lnTo>
                    <a:pt x="107468" y="412938"/>
                  </a:lnTo>
                  <a:lnTo>
                    <a:pt x="103037" y="408981"/>
                  </a:lnTo>
                  <a:lnTo>
                    <a:pt x="87842" y="408427"/>
                  </a:lnTo>
                  <a:lnTo>
                    <a:pt x="87526" y="412463"/>
                  </a:lnTo>
                  <a:lnTo>
                    <a:pt x="82303" y="412661"/>
                  </a:lnTo>
                  <a:lnTo>
                    <a:pt x="82144" y="416301"/>
                  </a:lnTo>
                  <a:lnTo>
                    <a:pt x="73281" y="417092"/>
                  </a:lnTo>
                  <a:lnTo>
                    <a:pt x="72964" y="412661"/>
                  </a:lnTo>
                  <a:lnTo>
                    <a:pt x="67900" y="412265"/>
                  </a:lnTo>
                  <a:lnTo>
                    <a:pt x="67741" y="403679"/>
                  </a:lnTo>
                  <a:lnTo>
                    <a:pt x="58245" y="394974"/>
                  </a:lnTo>
                  <a:lnTo>
                    <a:pt x="52231" y="394538"/>
                  </a:lnTo>
                  <a:lnTo>
                    <a:pt x="33871" y="385240"/>
                  </a:lnTo>
                  <a:lnTo>
                    <a:pt x="29122" y="371747"/>
                  </a:lnTo>
                  <a:lnTo>
                    <a:pt x="19784" y="368542"/>
                  </a:lnTo>
                  <a:lnTo>
                    <a:pt x="158" y="340765"/>
                  </a:lnTo>
                  <a:lnTo>
                    <a:pt x="0" y="329567"/>
                  </a:lnTo>
                  <a:lnTo>
                    <a:pt x="5381" y="325412"/>
                  </a:lnTo>
                  <a:lnTo>
                    <a:pt x="18360" y="324937"/>
                  </a:lnTo>
                  <a:lnTo>
                    <a:pt x="20101" y="319991"/>
                  </a:lnTo>
                  <a:lnTo>
                    <a:pt x="24849" y="320505"/>
                  </a:lnTo>
                  <a:lnTo>
                    <a:pt x="38619" y="306933"/>
                  </a:lnTo>
                  <a:lnTo>
                    <a:pt x="37511" y="274052"/>
                  </a:lnTo>
                  <a:lnTo>
                    <a:pt x="32605" y="269225"/>
                  </a:lnTo>
                  <a:lnTo>
                    <a:pt x="33396" y="230131"/>
                  </a:lnTo>
                  <a:lnTo>
                    <a:pt x="32605" y="227915"/>
                  </a:lnTo>
                  <a:lnTo>
                    <a:pt x="62360" y="212285"/>
                  </a:lnTo>
                  <a:lnTo>
                    <a:pt x="102720" y="183994"/>
                  </a:lnTo>
                  <a:lnTo>
                    <a:pt x="141814" y="168008"/>
                  </a:lnTo>
                  <a:lnTo>
                    <a:pt x="192778" y="161756"/>
                  </a:lnTo>
                  <a:lnTo>
                    <a:pt x="245167" y="166069"/>
                  </a:lnTo>
                  <a:lnTo>
                    <a:pt x="341873" y="188782"/>
                  </a:lnTo>
                  <a:lnTo>
                    <a:pt x="404391" y="198476"/>
                  </a:lnTo>
                  <a:lnTo>
                    <a:pt x="444909" y="198476"/>
                  </a:lnTo>
                  <a:lnTo>
                    <a:pt x="495557" y="190918"/>
                  </a:lnTo>
                  <a:lnTo>
                    <a:pt x="550636" y="180116"/>
                  </a:lnTo>
                  <a:lnTo>
                    <a:pt x="604133" y="173113"/>
                  </a:lnTo>
                  <a:lnTo>
                    <a:pt x="672982" y="163418"/>
                  </a:lnTo>
                  <a:lnTo>
                    <a:pt x="716824" y="160174"/>
                  </a:lnTo>
                  <a:lnTo>
                    <a:pt x="772062" y="170422"/>
                  </a:lnTo>
                  <a:lnTo>
                    <a:pt x="847717" y="190404"/>
                  </a:lnTo>
                  <a:lnTo>
                    <a:pt x="886969" y="189296"/>
                  </a:lnTo>
                  <a:lnTo>
                    <a:pt x="932552" y="160174"/>
                  </a:lnTo>
                  <a:lnTo>
                    <a:pt x="956926" y="108418"/>
                  </a:lnTo>
                  <a:lnTo>
                    <a:pt x="970696" y="79295"/>
                  </a:lnTo>
                  <a:lnTo>
                    <a:pt x="983675" y="61490"/>
                  </a:lnTo>
                  <a:lnTo>
                    <a:pt x="1021819" y="35572"/>
                  </a:lnTo>
                  <a:lnTo>
                    <a:pt x="1075316" y="5935"/>
                  </a:lnTo>
                  <a:lnTo>
                    <a:pt x="1104913" y="0"/>
                  </a:lnTo>
                  <a:lnTo>
                    <a:pt x="1136251" y="0"/>
                  </a:lnTo>
                  <a:lnTo>
                    <a:pt x="1165849" y="14007"/>
                  </a:lnTo>
                  <a:lnTo>
                    <a:pt x="1219345" y="36126"/>
                  </a:lnTo>
                  <a:lnTo>
                    <a:pt x="1257489" y="53378"/>
                  </a:lnTo>
                  <a:lnTo>
                    <a:pt x="1289936" y="65763"/>
                  </a:lnTo>
                  <a:lnTo>
                    <a:pt x="1306871" y="69562"/>
                  </a:lnTo>
                  <a:lnTo>
                    <a:pt x="1297849" y="120288"/>
                  </a:lnTo>
                  <a:lnTo>
                    <a:pt x="1291518" y="208210"/>
                  </a:lnTo>
                  <a:lnTo>
                    <a:pt x="1218079" y="207656"/>
                  </a:lnTo>
                  <a:lnTo>
                    <a:pt x="1218712" y="216836"/>
                  </a:lnTo>
                  <a:lnTo>
                    <a:pt x="1186266" y="262696"/>
                  </a:lnTo>
                  <a:lnTo>
                    <a:pt x="1168064" y="278879"/>
                  </a:lnTo>
                  <a:lnTo>
                    <a:pt x="1205101" y="333880"/>
                  </a:lnTo>
                  <a:lnTo>
                    <a:pt x="1164108" y="361934"/>
                  </a:lnTo>
                  <a:lnTo>
                    <a:pt x="1108870" y="390502"/>
                  </a:lnTo>
                  <a:lnTo>
                    <a:pt x="1001402" y="446611"/>
                  </a:lnTo>
                  <a:lnTo>
                    <a:pt x="1008207" y="482222"/>
                  </a:lnTo>
                  <a:lnTo>
                    <a:pt x="941574" y="520525"/>
                  </a:lnTo>
                  <a:lnTo>
                    <a:pt x="898840" y="389434"/>
                  </a:lnTo>
                  <a:lnTo>
                    <a:pt x="896149" y="347887"/>
                  </a:lnTo>
                  <a:lnTo>
                    <a:pt x="890926" y="337639"/>
                  </a:lnTo>
                  <a:lnTo>
                    <a:pt x="581342" y="333880"/>
                  </a:lnTo>
                  <a:lnTo>
                    <a:pt x="560291" y="345196"/>
                  </a:lnTo>
                  <a:lnTo>
                    <a:pt x="539241" y="374873"/>
                  </a:lnTo>
                  <a:lnTo>
                    <a:pt x="533068" y="402927"/>
                  </a:lnTo>
                  <a:lnTo>
                    <a:pt x="616004" y="509762"/>
                  </a:lnTo>
                  <a:lnTo>
                    <a:pt x="613313" y="511345"/>
                  </a:lnTo>
                  <a:lnTo>
                    <a:pt x="580867" y="525906"/>
                  </a:lnTo>
                  <a:lnTo>
                    <a:pt x="575169" y="559341"/>
                  </a:lnTo>
                  <a:lnTo>
                    <a:pt x="579126" y="579878"/>
                  </a:lnTo>
                  <a:lnTo>
                    <a:pt x="573428" y="583122"/>
                  </a:lnTo>
                  <a:lnTo>
                    <a:pt x="575644" y="707170"/>
                  </a:lnTo>
                  <a:lnTo>
                    <a:pt x="571212" y="744404"/>
                  </a:lnTo>
                  <a:lnTo>
                    <a:pt x="596219" y="751961"/>
                  </a:lnTo>
                  <a:lnTo>
                    <a:pt x="612680" y="753069"/>
                  </a:lnTo>
                  <a:lnTo>
                    <a:pt x="676464" y="779461"/>
                  </a:lnTo>
                  <a:lnTo>
                    <a:pt x="731069" y="796713"/>
                  </a:lnTo>
                  <a:lnTo>
                    <a:pt x="751486" y="808069"/>
                  </a:lnTo>
                  <a:lnTo>
                    <a:pt x="782192" y="832879"/>
                  </a:lnTo>
                  <a:lnTo>
                    <a:pt x="794854" y="838814"/>
                  </a:lnTo>
                  <a:lnTo>
                    <a:pt x="827458" y="875494"/>
                  </a:lnTo>
                  <a:lnTo>
                    <a:pt x="847401" y="874307"/>
                  </a:lnTo>
                  <a:lnTo>
                    <a:pt x="857688" y="877315"/>
                  </a:lnTo>
                  <a:lnTo>
                    <a:pt x="871933" y="877987"/>
                  </a:lnTo>
                  <a:lnTo>
                    <a:pt x="888552" y="885347"/>
                  </a:lnTo>
                </a:path>
              </a:pathLst>
            </a:custGeom>
            <a:solidFill>
              <a:srgbClr val="FFFFFF"/>
            </a:solidFill>
            <a:ln w="5132" cap="flat">
              <a:solidFill>
                <a:srgbClr val="030000"/>
              </a:solidFill>
              <a:prstDash val="solid"/>
              <a:miter/>
            </a:ln>
          </xdr:spPr>
          <xdr:txBody>
            <a:bodyPr rtlCol="0" anchor="ctr"/>
            <a:lstStyle/>
            <a:p>
              <a:endParaRPr lang="en-US"/>
            </a:p>
          </xdr:txBody>
        </xdr:sp>
        <xdr:sp macro="" textlink="">
          <xdr:nvSpPr>
            <xdr:cNvPr id="128" name="7_1">
              <a:extLst>
                <a:ext uri="{FF2B5EF4-FFF2-40B4-BE49-F238E27FC236}">
                  <a16:creationId xmlns:a16="http://schemas.microsoft.com/office/drawing/2014/main" id="{EEC84D6B-1066-514E-AB80-1616004CD422}"/>
                </a:ext>
              </a:extLst>
            </xdr:cNvPr>
            <xdr:cNvSpPr/>
          </xdr:nvSpPr>
          <xdr:spPr>
            <a:xfrm>
              <a:off x="4423328" y="3213260"/>
              <a:ext cx="1534583" cy="1203325"/>
            </a:xfrm>
            <a:custGeom>
              <a:avLst/>
              <a:gdLst>
                <a:gd name="connsiteX0" fmla="*/ 1547764 w 1543050"/>
                <a:gd name="connsiteY0" fmla="*/ 578295 h 1152525"/>
                <a:gd name="connsiteX1" fmla="*/ 1547764 w 1543050"/>
                <a:gd name="connsiteY1" fmla="*/ 578295 h 1152525"/>
                <a:gd name="connsiteX2" fmla="*/ 1411174 w 1543050"/>
                <a:gd name="connsiteY2" fmla="*/ 622532 h 1152525"/>
                <a:gd name="connsiteX3" fmla="*/ 1340583 w 1543050"/>
                <a:gd name="connsiteY3" fmla="*/ 663011 h 1152525"/>
                <a:gd name="connsiteX4" fmla="*/ 1318425 w 1543050"/>
                <a:gd name="connsiteY4" fmla="*/ 680026 h 1152525"/>
                <a:gd name="connsiteX5" fmla="*/ 1294526 w 1543050"/>
                <a:gd name="connsiteY5" fmla="*/ 702659 h 1152525"/>
                <a:gd name="connsiteX6" fmla="*/ 1239604 w 1543050"/>
                <a:gd name="connsiteY6" fmla="*/ 789789 h 1152525"/>
                <a:gd name="connsiteX7" fmla="*/ 1209532 w 1543050"/>
                <a:gd name="connsiteY7" fmla="*/ 823818 h 1152525"/>
                <a:gd name="connsiteX8" fmla="*/ 1191014 w 1543050"/>
                <a:gd name="connsiteY8" fmla="*/ 837271 h 1152525"/>
                <a:gd name="connsiteX9" fmla="*/ 1167115 w 1543050"/>
                <a:gd name="connsiteY9" fmla="*/ 841584 h 1152525"/>
                <a:gd name="connsiteX10" fmla="*/ 1113618 w 1543050"/>
                <a:gd name="connsiteY10" fmla="*/ 829714 h 1152525"/>
                <a:gd name="connsiteX11" fmla="*/ 1089719 w 1543050"/>
                <a:gd name="connsiteY11" fmla="*/ 802728 h 1152525"/>
                <a:gd name="connsiteX12" fmla="*/ 1044769 w 1543050"/>
                <a:gd name="connsiteY12" fmla="*/ 809771 h 1152525"/>
                <a:gd name="connsiteX13" fmla="*/ 1026567 w 1543050"/>
                <a:gd name="connsiteY13" fmla="*/ 818951 h 1152525"/>
                <a:gd name="connsiteX14" fmla="*/ 1071992 w 1543050"/>
                <a:gd name="connsiteY14" fmla="*/ 863703 h 1152525"/>
                <a:gd name="connsiteX15" fmla="*/ 1033373 w 1543050"/>
                <a:gd name="connsiteY15" fmla="*/ 865325 h 1152525"/>
                <a:gd name="connsiteX16" fmla="*/ 1008366 w 1543050"/>
                <a:gd name="connsiteY16" fmla="*/ 888552 h 1152525"/>
                <a:gd name="connsiteX17" fmla="*/ 941099 w 1543050"/>
                <a:gd name="connsiteY17" fmla="*/ 868570 h 1152525"/>
                <a:gd name="connsiteX18" fmla="*/ 908811 w 1543050"/>
                <a:gd name="connsiteY18" fmla="*/ 860458 h 1152525"/>
                <a:gd name="connsiteX19" fmla="*/ 836955 w 1543050"/>
                <a:gd name="connsiteY19" fmla="*/ 843206 h 1152525"/>
                <a:gd name="connsiteX20" fmla="*/ 745472 w 1543050"/>
                <a:gd name="connsiteY20" fmla="*/ 818397 h 1152525"/>
                <a:gd name="connsiteX21" fmla="*/ 603183 w 1543050"/>
                <a:gd name="connsiteY21" fmla="*/ 719673 h 1152525"/>
                <a:gd name="connsiteX22" fmla="*/ 533701 w 1543050"/>
                <a:gd name="connsiteY22" fmla="*/ 666256 h 1152525"/>
                <a:gd name="connsiteX23" fmla="*/ 472765 w 1543050"/>
                <a:gd name="connsiteY23" fmla="*/ 617705 h 1152525"/>
                <a:gd name="connsiteX24" fmla="*/ 421643 w 1543050"/>
                <a:gd name="connsiteY24" fmla="*/ 583716 h 1152525"/>
                <a:gd name="connsiteX25" fmla="*/ 392045 w 1543050"/>
                <a:gd name="connsiteY25" fmla="*/ 600414 h 1152525"/>
                <a:gd name="connsiteX26" fmla="*/ 394894 w 1543050"/>
                <a:gd name="connsiteY26" fmla="*/ 621464 h 1152525"/>
                <a:gd name="connsiteX27" fmla="*/ 399484 w 1543050"/>
                <a:gd name="connsiteY27" fmla="*/ 631198 h 1152525"/>
                <a:gd name="connsiteX28" fmla="*/ 407398 w 1543050"/>
                <a:gd name="connsiteY28" fmla="*/ 674328 h 1152525"/>
                <a:gd name="connsiteX29" fmla="*/ 403441 w 1543050"/>
                <a:gd name="connsiteY29" fmla="*/ 820573 h 1152525"/>
                <a:gd name="connsiteX30" fmla="*/ 399484 w 1543050"/>
                <a:gd name="connsiteY30" fmla="*/ 894487 h 1152525"/>
                <a:gd name="connsiteX31" fmla="*/ 322563 w 1543050"/>
                <a:gd name="connsiteY31" fmla="*/ 893379 h 1152525"/>
                <a:gd name="connsiteX32" fmla="*/ 318606 w 1543050"/>
                <a:gd name="connsiteY32" fmla="*/ 927923 h 1152525"/>
                <a:gd name="connsiteX33" fmla="*/ 317973 w 1543050"/>
                <a:gd name="connsiteY33" fmla="*/ 1006704 h 1152525"/>
                <a:gd name="connsiteX34" fmla="*/ 326520 w 1543050"/>
                <a:gd name="connsiteY34" fmla="*/ 1038477 h 1152525"/>
                <a:gd name="connsiteX35" fmla="*/ 393153 w 1543050"/>
                <a:gd name="connsiteY35" fmla="*/ 997524 h 1152525"/>
                <a:gd name="connsiteX36" fmla="*/ 384132 w 1543050"/>
                <a:gd name="connsiteY36" fmla="*/ 1064434 h 1152525"/>
                <a:gd name="connsiteX37" fmla="*/ 368146 w 1543050"/>
                <a:gd name="connsiteY37" fmla="*/ 1085445 h 1152525"/>
                <a:gd name="connsiteX38" fmla="*/ 336808 w 1543050"/>
                <a:gd name="connsiteY38" fmla="*/ 1146420 h 1152525"/>
                <a:gd name="connsiteX39" fmla="*/ 322563 w 1543050"/>
                <a:gd name="connsiteY39" fmla="*/ 1156708 h 1152525"/>
                <a:gd name="connsiteX40" fmla="*/ 253714 w 1543050"/>
                <a:gd name="connsiteY40" fmla="*/ 1134035 h 1152525"/>
                <a:gd name="connsiteX41" fmla="*/ 221901 w 1543050"/>
                <a:gd name="connsiteY41" fmla="*/ 1125410 h 1152525"/>
                <a:gd name="connsiteX42" fmla="*/ 195152 w 1543050"/>
                <a:gd name="connsiteY42" fmla="*/ 1106535 h 1152525"/>
                <a:gd name="connsiteX43" fmla="*/ 87051 w 1543050"/>
                <a:gd name="connsiteY43" fmla="*/ 1049834 h 1152525"/>
                <a:gd name="connsiteX44" fmla="*/ 76288 w 1543050"/>
                <a:gd name="connsiteY44" fmla="*/ 1025064 h 1152525"/>
                <a:gd name="connsiteX45" fmla="*/ 0 w 1543050"/>
                <a:gd name="connsiteY45" fmla="*/ 972160 h 1152525"/>
                <a:gd name="connsiteX46" fmla="*/ 19943 w 1543050"/>
                <a:gd name="connsiteY46" fmla="*/ 957283 h 1152525"/>
                <a:gd name="connsiteX47" fmla="*/ 36878 w 1543050"/>
                <a:gd name="connsiteY47" fmla="*/ 931563 h 1152525"/>
                <a:gd name="connsiteX48" fmla="*/ 51123 w 1543050"/>
                <a:gd name="connsiteY48" fmla="*/ 903430 h 1152525"/>
                <a:gd name="connsiteX49" fmla="*/ 89425 w 1543050"/>
                <a:gd name="connsiteY49" fmla="*/ 857451 h 1152525"/>
                <a:gd name="connsiteX50" fmla="*/ 96073 w 1543050"/>
                <a:gd name="connsiteY50" fmla="*/ 838893 h 1152525"/>
                <a:gd name="connsiteX51" fmla="*/ 88634 w 1543050"/>
                <a:gd name="connsiteY51" fmla="*/ 822749 h 1152525"/>
                <a:gd name="connsiteX52" fmla="*/ 96231 w 1543050"/>
                <a:gd name="connsiteY52" fmla="*/ 807793 h 1152525"/>
                <a:gd name="connsiteX53" fmla="*/ 134850 w 1543050"/>
                <a:gd name="connsiteY53" fmla="*/ 757857 h 1152525"/>
                <a:gd name="connsiteX54" fmla="*/ 185023 w 1543050"/>
                <a:gd name="connsiteY54" fmla="*/ 726598 h 1152525"/>
                <a:gd name="connsiteX55" fmla="*/ 265584 w 1543050"/>
                <a:gd name="connsiteY55" fmla="*/ 683824 h 1152525"/>
                <a:gd name="connsiteX56" fmla="*/ 308951 w 1543050"/>
                <a:gd name="connsiteY56" fmla="*/ 632266 h 1152525"/>
                <a:gd name="connsiteX57" fmla="*/ 331901 w 1543050"/>
                <a:gd name="connsiteY57" fmla="*/ 603658 h 1152525"/>
                <a:gd name="connsiteX58" fmla="*/ 332218 w 1543050"/>
                <a:gd name="connsiteY58" fmla="*/ 600532 h 1152525"/>
                <a:gd name="connsiteX59" fmla="*/ 340765 w 1543050"/>
                <a:gd name="connsiteY59" fmla="*/ 591352 h 1152525"/>
                <a:gd name="connsiteX60" fmla="*/ 341873 w 1543050"/>
                <a:gd name="connsiteY60" fmla="*/ 585971 h 1152525"/>
                <a:gd name="connsiteX61" fmla="*/ 382866 w 1543050"/>
                <a:gd name="connsiteY61" fmla="*/ 557521 h 1152525"/>
                <a:gd name="connsiteX62" fmla="*/ 358333 w 1543050"/>
                <a:gd name="connsiteY62" fmla="*/ 551467 h 1152525"/>
                <a:gd name="connsiteX63" fmla="*/ 341714 w 1543050"/>
                <a:gd name="connsiteY63" fmla="*/ 544108 h 1152525"/>
                <a:gd name="connsiteX64" fmla="*/ 327470 w 1543050"/>
                <a:gd name="connsiteY64" fmla="*/ 543435 h 1152525"/>
                <a:gd name="connsiteX65" fmla="*/ 317182 w 1543050"/>
                <a:gd name="connsiteY65" fmla="*/ 540428 h 1152525"/>
                <a:gd name="connsiteX66" fmla="*/ 297239 w 1543050"/>
                <a:gd name="connsiteY66" fmla="*/ 541615 h 1152525"/>
                <a:gd name="connsiteX67" fmla="*/ 264635 w 1543050"/>
                <a:gd name="connsiteY67" fmla="*/ 504935 h 1152525"/>
                <a:gd name="connsiteX68" fmla="*/ 251973 w 1543050"/>
                <a:gd name="connsiteY68" fmla="*/ 498999 h 1152525"/>
                <a:gd name="connsiteX69" fmla="*/ 221267 w 1543050"/>
                <a:gd name="connsiteY69" fmla="*/ 474190 h 1152525"/>
                <a:gd name="connsiteX70" fmla="*/ 200850 w 1543050"/>
                <a:gd name="connsiteY70" fmla="*/ 462834 h 1152525"/>
                <a:gd name="connsiteX71" fmla="*/ 146245 w 1543050"/>
                <a:gd name="connsiteY71" fmla="*/ 445582 h 1152525"/>
                <a:gd name="connsiteX72" fmla="*/ 82461 w 1543050"/>
                <a:gd name="connsiteY72" fmla="*/ 419190 h 1152525"/>
                <a:gd name="connsiteX73" fmla="*/ 66000 w 1543050"/>
                <a:gd name="connsiteY73" fmla="*/ 418082 h 1152525"/>
                <a:gd name="connsiteX74" fmla="*/ 40993 w 1543050"/>
                <a:gd name="connsiteY74" fmla="*/ 410524 h 1152525"/>
                <a:gd name="connsiteX75" fmla="*/ 45425 w 1543050"/>
                <a:gd name="connsiteY75" fmla="*/ 373290 h 1152525"/>
                <a:gd name="connsiteX76" fmla="*/ 43209 w 1543050"/>
                <a:gd name="connsiteY76" fmla="*/ 249242 h 1152525"/>
                <a:gd name="connsiteX77" fmla="*/ 48907 w 1543050"/>
                <a:gd name="connsiteY77" fmla="*/ 247066 h 1152525"/>
                <a:gd name="connsiteX78" fmla="*/ 44950 w 1543050"/>
                <a:gd name="connsiteY78" fmla="*/ 225462 h 1152525"/>
                <a:gd name="connsiteX79" fmla="*/ 50648 w 1543050"/>
                <a:gd name="connsiteY79" fmla="*/ 192026 h 1152525"/>
                <a:gd name="connsiteX80" fmla="*/ 83094 w 1543050"/>
                <a:gd name="connsiteY80" fmla="*/ 177465 h 1152525"/>
                <a:gd name="connsiteX81" fmla="*/ 85785 w 1543050"/>
                <a:gd name="connsiteY81" fmla="*/ 175882 h 1152525"/>
                <a:gd name="connsiteX82" fmla="*/ 2849 w 1543050"/>
                <a:gd name="connsiteY82" fmla="*/ 69047 h 1152525"/>
                <a:gd name="connsiteX83" fmla="*/ 9022 w 1543050"/>
                <a:gd name="connsiteY83" fmla="*/ 40993 h 1152525"/>
                <a:gd name="connsiteX84" fmla="*/ 30072 w 1543050"/>
                <a:gd name="connsiteY84" fmla="*/ 11317 h 1152525"/>
                <a:gd name="connsiteX85" fmla="*/ 51123 w 1543050"/>
                <a:gd name="connsiteY85" fmla="*/ 0 h 1152525"/>
                <a:gd name="connsiteX86" fmla="*/ 360707 w 1543050"/>
                <a:gd name="connsiteY86" fmla="*/ 3759 h 1152525"/>
                <a:gd name="connsiteX87" fmla="*/ 365930 w 1543050"/>
                <a:gd name="connsiteY87" fmla="*/ 14007 h 1152525"/>
                <a:gd name="connsiteX88" fmla="*/ 368621 w 1543050"/>
                <a:gd name="connsiteY88" fmla="*/ 55554 h 1152525"/>
                <a:gd name="connsiteX89" fmla="*/ 411355 w 1543050"/>
                <a:gd name="connsiteY89" fmla="*/ 186645 h 1152525"/>
                <a:gd name="connsiteX90" fmla="*/ 477988 w 1543050"/>
                <a:gd name="connsiteY90" fmla="*/ 148343 h 1152525"/>
                <a:gd name="connsiteX91" fmla="*/ 505845 w 1543050"/>
                <a:gd name="connsiteY91" fmla="*/ 241685 h 1152525"/>
                <a:gd name="connsiteX92" fmla="*/ 524679 w 1543050"/>
                <a:gd name="connsiteY92" fmla="*/ 306933 h 1152525"/>
                <a:gd name="connsiteX93" fmla="*/ 531960 w 1543050"/>
                <a:gd name="connsiteY93" fmla="*/ 379779 h 1152525"/>
                <a:gd name="connsiteX94" fmla="*/ 513758 w 1543050"/>
                <a:gd name="connsiteY94" fmla="*/ 390542 h 1152525"/>
                <a:gd name="connsiteX95" fmla="*/ 515025 w 1543050"/>
                <a:gd name="connsiteY95" fmla="*/ 399722 h 1152525"/>
                <a:gd name="connsiteX96" fmla="*/ 508061 w 1543050"/>
                <a:gd name="connsiteY96" fmla="*/ 408387 h 1152525"/>
                <a:gd name="connsiteX97" fmla="*/ 521197 w 1543050"/>
                <a:gd name="connsiteY97" fmla="*/ 461805 h 1152525"/>
                <a:gd name="connsiteX98" fmla="*/ 584982 w 1543050"/>
                <a:gd name="connsiteY98" fmla="*/ 480125 h 1152525"/>
                <a:gd name="connsiteX99" fmla="*/ 632781 w 1543050"/>
                <a:gd name="connsiteY99" fmla="*/ 489305 h 1152525"/>
                <a:gd name="connsiteX100" fmla="*/ 880322 w 1543050"/>
                <a:gd name="connsiteY100" fmla="*/ 488237 h 1152525"/>
                <a:gd name="connsiteX101" fmla="*/ 868926 w 1543050"/>
                <a:gd name="connsiteY101" fmla="*/ 448826 h 1152525"/>
                <a:gd name="connsiteX102" fmla="*/ 922898 w 1543050"/>
                <a:gd name="connsiteY102" fmla="*/ 428330 h 1152525"/>
                <a:gd name="connsiteX103" fmla="*/ 945214 w 1543050"/>
                <a:gd name="connsiteY103" fmla="*/ 393786 h 1152525"/>
                <a:gd name="connsiteX104" fmla="*/ 957718 w 1543050"/>
                <a:gd name="connsiteY104" fmla="*/ 369017 h 1152525"/>
                <a:gd name="connsiteX105" fmla="*/ 961042 w 1543050"/>
                <a:gd name="connsiteY105" fmla="*/ 361973 h 1152525"/>
                <a:gd name="connsiteX106" fmla="*/ 999186 w 1543050"/>
                <a:gd name="connsiteY106" fmla="*/ 318844 h 1152525"/>
                <a:gd name="connsiteX107" fmla="*/ 1008366 w 1543050"/>
                <a:gd name="connsiteY107" fmla="*/ 299376 h 1152525"/>
                <a:gd name="connsiteX108" fmla="*/ 1043661 w 1543050"/>
                <a:gd name="connsiteY108" fmla="*/ 298308 h 1152525"/>
                <a:gd name="connsiteX109" fmla="*/ 1051575 w 1543050"/>
                <a:gd name="connsiteY109" fmla="*/ 282678 h 1152525"/>
                <a:gd name="connsiteX110" fmla="*/ 1082913 w 1543050"/>
                <a:gd name="connsiteY110" fmla="*/ 309110 h 1152525"/>
                <a:gd name="connsiteX111" fmla="*/ 1112352 w 1543050"/>
                <a:gd name="connsiteY111" fmla="*/ 326916 h 1152525"/>
                <a:gd name="connsiteX112" fmla="*/ 1102697 w 1543050"/>
                <a:gd name="connsiteY112" fmla="*/ 340369 h 1152525"/>
                <a:gd name="connsiteX113" fmla="*/ 1081647 w 1543050"/>
                <a:gd name="connsiteY113" fmla="*/ 407833 h 1152525"/>
                <a:gd name="connsiteX114" fmla="*/ 1061229 w 1543050"/>
                <a:gd name="connsiteY114" fmla="*/ 459629 h 1152525"/>
                <a:gd name="connsiteX115" fmla="*/ 1037805 w 1543050"/>
                <a:gd name="connsiteY115" fmla="*/ 540032 h 1152525"/>
                <a:gd name="connsiteX116" fmla="*/ 1090827 w 1543050"/>
                <a:gd name="connsiteY116" fmla="*/ 541654 h 1152525"/>
                <a:gd name="connsiteX117" fmla="*/ 1190698 w 1543050"/>
                <a:gd name="connsiteY117" fmla="*/ 521672 h 1152525"/>
                <a:gd name="connsiteX118" fmla="*/ 1267302 w 1543050"/>
                <a:gd name="connsiteY118" fmla="*/ 535007 h 1152525"/>
                <a:gd name="connsiteX119" fmla="*/ 1290094 w 1543050"/>
                <a:gd name="connsiteY119" fmla="*/ 538924 h 1152525"/>
                <a:gd name="connsiteX120" fmla="*/ 1306396 w 1543050"/>
                <a:gd name="connsiteY120" fmla="*/ 540823 h 1152525"/>
                <a:gd name="connsiteX121" fmla="*/ 1332828 w 1543050"/>
                <a:gd name="connsiteY121" fmla="*/ 546363 h 1152525"/>
                <a:gd name="connsiteX122" fmla="*/ 1353087 w 1543050"/>
                <a:gd name="connsiteY122" fmla="*/ 550518 h 1152525"/>
                <a:gd name="connsiteX123" fmla="*/ 1320799 w 1543050"/>
                <a:gd name="connsiteY123" fmla="*/ 591946 h 1152525"/>
                <a:gd name="connsiteX124" fmla="*/ 1317475 w 1543050"/>
                <a:gd name="connsiteY124" fmla="*/ 590838 h 1152525"/>
                <a:gd name="connsiteX125" fmla="*/ 1300382 w 1543050"/>
                <a:gd name="connsiteY125" fmla="*/ 584111 h 1152525"/>
                <a:gd name="connsiteX126" fmla="*/ 1293734 w 1543050"/>
                <a:gd name="connsiteY126" fmla="*/ 588147 h 1152525"/>
                <a:gd name="connsiteX127" fmla="*/ 1286137 w 1543050"/>
                <a:gd name="connsiteY127" fmla="*/ 606230 h 1152525"/>
                <a:gd name="connsiteX128" fmla="*/ 1278223 w 1543050"/>
                <a:gd name="connsiteY128" fmla="*/ 625658 h 1152525"/>
                <a:gd name="connsiteX129" fmla="*/ 1297375 w 1543050"/>
                <a:gd name="connsiteY129" fmla="*/ 629694 h 1152525"/>
                <a:gd name="connsiteX130" fmla="*/ 1308295 w 1543050"/>
                <a:gd name="connsiteY130" fmla="*/ 618773 h 1152525"/>
                <a:gd name="connsiteX131" fmla="*/ 1324598 w 1543050"/>
                <a:gd name="connsiteY131" fmla="*/ 632939 h 1152525"/>
                <a:gd name="connsiteX132" fmla="*/ 1330770 w 1543050"/>
                <a:gd name="connsiteY132" fmla="*/ 627676 h 1152525"/>
                <a:gd name="connsiteX133" fmla="*/ 1321432 w 1543050"/>
                <a:gd name="connsiteY133" fmla="*/ 618338 h 1152525"/>
                <a:gd name="connsiteX134" fmla="*/ 1321907 w 1543050"/>
                <a:gd name="connsiteY134" fmla="*/ 593133 h 1152525"/>
                <a:gd name="connsiteX135" fmla="*/ 1355145 w 1543050"/>
                <a:gd name="connsiteY135" fmla="*/ 550913 h 1152525"/>
                <a:gd name="connsiteX136" fmla="*/ 1400886 w 1543050"/>
                <a:gd name="connsiteY136" fmla="*/ 550241 h 1152525"/>
                <a:gd name="connsiteX137" fmla="*/ 1461188 w 1543050"/>
                <a:gd name="connsiteY137" fmla="*/ 545413 h 1152525"/>
                <a:gd name="connsiteX138" fmla="*/ 1536369 w 1543050"/>
                <a:gd name="connsiteY138" fmla="*/ 530298 h 1152525"/>
                <a:gd name="connsiteX139" fmla="*/ 1547764 w 1543050"/>
                <a:gd name="connsiteY139" fmla="*/ 578295 h 11525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Lst>
              <a:rect l="l" t="t" r="r" b="b"/>
              <a:pathLst>
                <a:path w="1543050" h="1152525">
                  <a:moveTo>
                    <a:pt x="1547764" y="578295"/>
                  </a:moveTo>
                  <a:lnTo>
                    <a:pt x="1547764" y="578295"/>
                  </a:lnTo>
                  <a:lnTo>
                    <a:pt x="1411174" y="622532"/>
                  </a:lnTo>
                  <a:lnTo>
                    <a:pt x="1340583" y="663011"/>
                  </a:lnTo>
                  <a:lnTo>
                    <a:pt x="1318425" y="680026"/>
                  </a:lnTo>
                  <a:lnTo>
                    <a:pt x="1294526" y="702659"/>
                  </a:lnTo>
                  <a:lnTo>
                    <a:pt x="1239604" y="789789"/>
                  </a:lnTo>
                  <a:lnTo>
                    <a:pt x="1209532" y="823818"/>
                  </a:lnTo>
                  <a:lnTo>
                    <a:pt x="1191014" y="837271"/>
                  </a:lnTo>
                  <a:lnTo>
                    <a:pt x="1167115" y="841584"/>
                  </a:lnTo>
                  <a:lnTo>
                    <a:pt x="1113618" y="829714"/>
                  </a:lnTo>
                  <a:lnTo>
                    <a:pt x="1089719" y="802728"/>
                  </a:lnTo>
                  <a:lnTo>
                    <a:pt x="1044769" y="809771"/>
                  </a:lnTo>
                  <a:lnTo>
                    <a:pt x="1026567" y="818951"/>
                  </a:lnTo>
                  <a:lnTo>
                    <a:pt x="1071992" y="863703"/>
                  </a:lnTo>
                  <a:lnTo>
                    <a:pt x="1033373" y="865325"/>
                  </a:lnTo>
                  <a:lnTo>
                    <a:pt x="1008366" y="888552"/>
                  </a:lnTo>
                  <a:lnTo>
                    <a:pt x="941099" y="868570"/>
                  </a:lnTo>
                  <a:lnTo>
                    <a:pt x="908811" y="860458"/>
                  </a:lnTo>
                  <a:lnTo>
                    <a:pt x="836955" y="843206"/>
                  </a:lnTo>
                  <a:lnTo>
                    <a:pt x="745472" y="818397"/>
                  </a:lnTo>
                  <a:lnTo>
                    <a:pt x="603183" y="719673"/>
                  </a:lnTo>
                  <a:lnTo>
                    <a:pt x="533701" y="666256"/>
                  </a:lnTo>
                  <a:lnTo>
                    <a:pt x="472765" y="617705"/>
                  </a:lnTo>
                  <a:lnTo>
                    <a:pt x="421643" y="583716"/>
                  </a:lnTo>
                  <a:lnTo>
                    <a:pt x="392045" y="600414"/>
                  </a:lnTo>
                  <a:lnTo>
                    <a:pt x="394894" y="621464"/>
                  </a:lnTo>
                  <a:lnTo>
                    <a:pt x="399484" y="631198"/>
                  </a:lnTo>
                  <a:lnTo>
                    <a:pt x="407398" y="674328"/>
                  </a:lnTo>
                  <a:lnTo>
                    <a:pt x="403441" y="820573"/>
                  </a:lnTo>
                  <a:lnTo>
                    <a:pt x="399484" y="894487"/>
                  </a:lnTo>
                  <a:lnTo>
                    <a:pt x="322563" y="893379"/>
                  </a:lnTo>
                  <a:lnTo>
                    <a:pt x="318606" y="927923"/>
                  </a:lnTo>
                  <a:lnTo>
                    <a:pt x="317973" y="1006704"/>
                  </a:lnTo>
                  <a:lnTo>
                    <a:pt x="326520" y="1038477"/>
                  </a:lnTo>
                  <a:lnTo>
                    <a:pt x="393153" y="997524"/>
                  </a:lnTo>
                  <a:lnTo>
                    <a:pt x="384132" y="1064434"/>
                  </a:lnTo>
                  <a:lnTo>
                    <a:pt x="368146" y="1085445"/>
                  </a:lnTo>
                  <a:lnTo>
                    <a:pt x="336808" y="1146420"/>
                  </a:lnTo>
                  <a:lnTo>
                    <a:pt x="322563" y="1156708"/>
                  </a:lnTo>
                  <a:lnTo>
                    <a:pt x="253714" y="1134035"/>
                  </a:lnTo>
                  <a:lnTo>
                    <a:pt x="221901" y="1125410"/>
                  </a:lnTo>
                  <a:lnTo>
                    <a:pt x="195152" y="1106535"/>
                  </a:lnTo>
                  <a:lnTo>
                    <a:pt x="87051" y="1049834"/>
                  </a:lnTo>
                  <a:lnTo>
                    <a:pt x="76288" y="1025064"/>
                  </a:lnTo>
                  <a:lnTo>
                    <a:pt x="0" y="972160"/>
                  </a:lnTo>
                  <a:lnTo>
                    <a:pt x="19943" y="957283"/>
                  </a:lnTo>
                  <a:lnTo>
                    <a:pt x="36878" y="931563"/>
                  </a:lnTo>
                  <a:lnTo>
                    <a:pt x="51123" y="903430"/>
                  </a:lnTo>
                  <a:lnTo>
                    <a:pt x="89425" y="857451"/>
                  </a:lnTo>
                  <a:lnTo>
                    <a:pt x="96073" y="838893"/>
                  </a:lnTo>
                  <a:lnTo>
                    <a:pt x="88634" y="822749"/>
                  </a:lnTo>
                  <a:lnTo>
                    <a:pt x="96231" y="807793"/>
                  </a:lnTo>
                  <a:lnTo>
                    <a:pt x="134850" y="757857"/>
                  </a:lnTo>
                  <a:lnTo>
                    <a:pt x="185023" y="726598"/>
                  </a:lnTo>
                  <a:lnTo>
                    <a:pt x="265584" y="683824"/>
                  </a:lnTo>
                  <a:lnTo>
                    <a:pt x="308951" y="632266"/>
                  </a:lnTo>
                  <a:lnTo>
                    <a:pt x="331901" y="603658"/>
                  </a:lnTo>
                  <a:lnTo>
                    <a:pt x="332218" y="600532"/>
                  </a:lnTo>
                  <a:lnTo>
                    <a:pt x="340765" y="591352"/>
                  </a:lnTo>
                  <a:lnTo>
                    <a:pt x="341873" y="585971"/>
                  </a:lnTo>
                  <a:lnTo>
                    <a:pt x="382866" y="557521"/>
                  </a:lnTo>
                  <a:lnTo>
                    <a:pt x="358333" y="551467"/>
                  </a:lnTo>
                  <a:lnTo>
                    <a:pt x="341714" y="544108"/>
                  </a:lnTo>
                  <a:lnTo>
                    <a:pt x="327470" y="543435"/>
                  </a:lnTo>
                  <a:lnTo>
                    <a:pt x="317182" y="540428"/>
                  </a:lnTo>
                  <a:lnTo>
                    <a:pt x="297239" y="541615"/>
                  </a:lnTo>
                  <a:lnTo>
                    <a:pt x="264635" y="504935"/>
                  </a:lnTo>
                  <a:lnTo>
                    <a:pt x="251973" y="498999"/>
                  </a:lnTo>
                  <a:lnTo>
                    <a:pt x="221267" y="474190"/>
                  </a:lnTo>
                  <a:lnTo>
                    <a:pt x="200850" y="462834"/>
                  </a:lnTo>
                  <a:lnTo>
                    <a:pt x="146245" y="445582"/>
                  </a:lnTo>
                  <a:lnTo>
                    <a:pt x="82461" y="419190"/>
                  </a:lnTo>
                  <a:lnTo>
                    <a:pt x="66000" y="418082"/>
                  </a:lnTo>
                  <a:lnTo>
                    <a:pt x="40993" y="410524"/>
                  </a:lnTo>
                  <a:lnTo>
                    <a:pt x="45425" y="373290"/>
                  </a:lnTo>
                  <a:lnTo>
                    <a:pt x="43209" y="249242"/>
                  </a:lnTo>
                  <a:lnTo>
                    <a:pt x="48907" y="247066"/>
                  </a:lnTo>
                  <a:lnTo>
                    <a:pt x="44950" y="225462"/>
                  </a:lnTo>
                  <a:lnTo>
                    <a:pt x="50648" y="192026"/>
                  </a:lnTo>
                  <a:lnTo>
                    <a:pt x="83094" y="177465"/>
                  </a:lnTo>
                  <a:lnTo>
                    <a:pt x="85785" y="175882"/>
                  </a:lnTo>
                  <a:lnTo>
                    <a:pt x="2849" y="69047"/>
                  </a:lnTo>
                  <a:lnTo>
                    <a:pt x="9022" y="40993"/>
                  </a:lnTo>
                  <a:lnTo>
                    <a:pt x="30072" y="11317"/>
                  </a:lnTo>
                  <a:lnTo>
                    <a:pt x="51123" y="0"/>
                  </a:lnTo>
                  <a:lnTo>
                    <a:pt x="360707" y="3759"/>
                  </a:lnTo>
                  <a:lnTo>
                    <a:pt x="365930" y="14007"/>
                  </a:lnTo>
                  <a:lnTo>
                    <a:pt x="368621" y="55554"/>
                  </a:lnTo>
                  <a:lnTo>
                    <a:pt x="411355" y="186645"/>
                  </a:lnTo>
                  <a:lnTo>
                    <a:pt x="477988" y="148343"/>
                  </a:lnTo>
                  <a:lnTo>
                    <a:pt x="505845" y="241685"/>
                  </a:lnTo>
                  <a:lnTo>
                    <a:pt x="524679" y="306933"/>
                  </a:lnTo>
                  <a:lnTo>
                    <a:pt x="531960" y="379779"/>
                  </a:lnTo>
                  <a:lnTo>
                    <a:pt x="513758" y="390542"/>
                  </a:lnTo>
                  <a:lnTo>
                    <a:pt x="515025" y="399722"/>
                  </a:lnTo>
                  <a:lnTo>
                    <a:pt x="508061" y="408387"/>
                  </a:lnTo>
                  <a:lnTo>
                    <a:pt x="521197" y="461805"/>
                  </a:lnTo>
                  <a:lnTo>
                    <a:pt x="584982" y="480125"/>
                  </a:lnTo>
                  <a:lnTo>
                    <a:pt x="632781" y="489305"/>
                  </a:lnTo>
                  <a:lnTo>
                    <a:pt x="880322" y="488237"/>
                  </a:lnTo>
                  <a:lnTo>
                    <a:pt x="868926" y="448826"/>
                  </a:lnTo>
                  <a:lnTo>
                    <a:pt x="922898" y="428330"/>
                  </a:lnTo>
                  <a:lnTo>
                    <a:pt x="945214" y="393786"/>
                  </a:lnTo>
                  <a:lnTo>
                    <a:pt x="957718" y="369017"/>
                  </a:lnTo>
                  <a:lnTo>
                    <a:pt x="961042" y="361973"/>
                  </a:lnTo>
                  <a:lnTo>
                    <a:pt x="999186" y="318844"/>
                  </a:lnTo>
                  <a:lnTo>
                    <a:pt x="1008366" y="299376"/>
                  </a:lnTo>
                  <a:lnTo>
                    <a:pt x="1043661" y="298308"/>
                  </a:lnTo>
                  <a:lnTo>
                    <a:pt x="1051575" y="282678"/>
                  </a:lnTo>
                  <a:lnTo>
                    <a:pt x="1082913" y="309110"/>
                  </a:lnTo>
                  <a:lnTo>
                    <a:pt x="1112352" y="326916"/>
                  </a:lnTo>
                  <a:lnTo>
                    <a:pt x="1102697" y="340369"/>
                  </a:lnTo>
                  <a:lnTo>
                    <a:pt x="1081647" y="407833"/>
                  </a:lnTo>
                  <a:lnTo>
                    <a:pt x="1061229" y="459629"/>
                  </a:lnTo>
                  <a:lnTo>
                    <a:pt x="1037805" y="540032"/>
                  </a:lnTo>
                  <a:lnTo>
                    <a:pt x="1090827" y="541654"/>
                  </a:lnTo>
                  <a:lnTo>
                    <a:pt x="1190698" y="521672"/>
                  </a:lnTo>
                  <a:lnTo>
                    <a:pt x="1267302" y="535007"/>
                  </a:lnTo>
                  <a:lnTo>
                    <a:pt x="1290094" y="538924"/>
                  </a:lnTo>
                  <a:lnTo>
                    <a:pt x="1306396" y="540823"/>
                  </a:lnTo>
                  <a:lnTo>
                    <a:pt x="1332828" y="546363"/>
                  </a:lnTo>
                  <a:lnTo>
                    <a:pt x="1353087" y="550518"/>
                  </a:lnTo>
                  <a:lnTo>
                    <a:pt x="1320799" y="591946"/>
                  </a:lnTo>
                  <a:lnTo>
                    <a:pt x="1317475" y="590838"/>
                  </a:lnTo>
                  <a:lnTo>
                    <a:pt x="1300382" y="584111"/>
                  </a:lnTo>
                  <a:lnTo>
                    <a:pt x="1293734" y="588147"/>
                  </a:lnTo>
                  <a:lnTo>
                    <a:pt x="1286137" y="606230"/>
                  </a:lnTo>
                  <a:lnTo>
                    <a:pt x="1278223" y="625658"/>
                  </a:lnTo>
                  <a:lnTo>
                    <a:pt x="1297375" y="629694"/>
                  </a:lnTo>
                  <a:lnTo>
                    <a:pt x="1308295" y="618773"/>
                  </a:lnTo>
                  <a:lnTo>
                    <a:pt x="1324598" y="632939"/>
                  </a:lnTo>
                  <a:lnTo>
                    <a:pt x="1330770" y="627676"/>
                  </a:lnTo>
                  <a:lnTo>
                    <a:pt x="1321432" y="618338"/>
                  </a:lnTo>
                  <a:lnTo>
                    <a:pt x="1321907" y="593133"/>
                  </a:lnTo>
                  <a:lnTo>
                    <a:pt x="1355145" y="550913"/>
                  </a:lnTo>
                  <a:lnTo>
                    <a:pt x="1400886" y="550241"/>
                  </a:lnTo>
                  <a:lnTo>
                    <a:pt x="1461188" y="545413"/>
                  </a:lnTo>
                  <a:lnTo>
                    <a:pt x="1536369" y="530298"/>
                  </a:lnTo>
                  <a:lnTo>
                    <a:pt x="1547764" y="578295"/>
                  </a:lnTo>
                </a:path>
              </a:pathLst>
            </a:custGeom>
            <a:solidFill>
              <a:srgbClr val="FFFFFF"/>
            </a:solidFill>
            <a:ln w="5132" cap="flat">
              <a:solidFill>
                <a:srgbClr val="030000"/>
              </a:solidFill>
              <a:prstDash val="solid"/>
              <a:miter/>
            </a:ln>
          </xdr:spPr>
          <xdr:txBody>
            <a:bodyPr rtlCol="0" anchor="ctr"/>
            <a:lstStyle/>
            <a:p>
              <a:endParaRPr lang="en-US"/>
            </a:p>
          </xdr:txBody>
        </xdr:sp>
        <xdr:sp macro="" textlink="">
          <xdr:nvSpPr>
            <xdr:cNvPr id="129" name="6_1">
              <a:extLst>
                <a:ext uri="{FF2B5EF4-FFF2-40B4-BE49-F238E27FC236}">
                  <a16:creationId xmlns:a16="http://schemas.microsoft.com/office/drawing/2014/main" id="{78E99F7D-D5EB-AF47-9774-6D876AE45476}"/>
                </a:ext>
              </a:extLst>
            </xdr:cNvPr>
            <xdr:cNvSpPr/>
          </xdr:nvSpPr>
          <xdr:spPr>
            <a:xfrm>
              <a:off x="5876050" y="3376005"/>
              <a:ext cx="514350" cy="436033"/>
            </a:xfrm>
            <a:custGeom>
              <a:avLst/>
              <a:gdLst>
                <a:gd name="connsiteX0" fmla="*/ 140073 w 514350"/>
                <a:gd name="connsiteY0" fmla="*/ 0 h 419100"/>
                <a:gd name="connsiteX1" fmla="*/ 140073 w 514350"/>
                <a:gd name="connsiteY1" fmla="*/ 0 h 419100"/>
                <a:gd name="connsiteX2" fmla="*/ 207656 w 514350"/>
                <a:gd name="connsiteY2" fmla="*/ 21327 h 419100"/>
                <a:gd name="connsiteX3" fmla="*/ 240735 w 514350"/>
                <a:gd name="connsiteY3" fmla="*/ 29122 h 419100"/>
                <a:gd name="connsiteX4" fmla="*/ 293124 w 514350"/>
                <a:gd name="connsiteY4" fmla="*/ 39371 h 419100"/>
                <a:gd name="connsiteX5" fmla="*/ 295656 w 514350"/>
                <a:gd name="connsiteY5" fmla="*/ 47759 h 419100"/>
                <a:gd name="connsiteX6" fmla="*/ 228865 w 514350"/>
                <a:gd name="connsiteY6" fmla="*/ 71184 h 419100"/>
                <a:gd name="connsiteX7" fmla="*/ 230447 w 514350"/>
                <a:gd name="connsiteY7" fmla="*/ 81986 h 419100"/>
                <a:gd name="connsiteX8" fmla="*/ 244217 w 514350"/>
                <a:gd name="connsiteY8" fmla="*/ 112770 h 419100"/>
                <a:gd name="connsiteX9" fmla="*/ 359599 w 514350"/>
                <a:gd name="connsiteY9" fmla="*/ 95360 h 419100"/>
                <a:gd name="connsiteX10" fmla="*/ 400117 w 514350"/>
                <a:gd name="connsiteY10" fmla="*/ 99238 h 419100"/>
                <a:gd name="connsiteX11" fmla="*/ 519615 w 514350"/>
                <a:gd name="connsiteY11" fmla="*/ 114907 h 419100"/>
                <a:gd name="connsiteX12" fmla="*/ 497773 w 514350"/>
                <a:gd name="connsiteY12" fmla="*/ 296210 h 419100"/>
                <a:gd name="connsiteX13" fmla="*/ 497456 w 514350"/>
                <a:gd name="connsiteY13" fmla="*/ 329646 h 419100"/>
                <a:gd name="connsiteX14" fmla="*/ 501413 w 514350"/>
                <a:gd name="connsiteY14" fmla="*/ 352833 h 419100"/>
                <a:gd name="connsiteX15" fmla="*/ 243109 w 514350"/>
                <a:gd name="connsiteY15" fmla="*/ 375466 h 419100"/>
                <a:gd name="connsiteX16" fmla="*/ 194677 w 514350"/>
                <a:gd name="connsiteY16" fmla="*/ 387891 h 419100"/>
                <a:gd name="connsiteX17" fmla="*/ 86576 w 514350"/>
                <a:gd name="connsiteY17" fmla="*/ 424017 h 419100"/>
                <a:gd name="connsiteX18" fmla="*/ 75180 w 514350"/>
                <a:gd name="connsiteY18" fmla="*/ 376020 h 419100"/>
                <a:gd name="connsiteX19" fmla="*/ 93382 w 514350"/>
                <a:gd name="connsiteY19" fmla="*/ 375466 h 419100"/>
                <a:gd name="connsiteX20" fmla="*/ 94490 w 514350"/>
                <a:gd name="connsiteY20" fmla="*/ 284300 h 419100"/>
                <a:gd name="connsiteX21" fmla="*/ 49065 w 514350"/>
                <a:gd name="connsiteY21" fmla="*/ 285408 h 419100"/>
                <a:gd name="connsiteX22" fmla="*/ 0 w 514350"/>
                <a:gd name="connsiteY22" fmla="*/ 255732 h 419100"/>
                <a:gd name="connsiteX23" fmla="*/ 69482 w 514350"/>
                <a:gd name="connsiteY23" fmla="*/ 133267 h 419100"/>
                <a:gd name="connsiteX24" fmla="*/ 97972 w 514350"/>
                <a:gd name="connsiteY24" fmla="*/ 93857 h 419100"/>
                <a:gd name="connsiteX25" fmla="*/ 114432 w 514350"/>
                <a:gd name="connsiteY25" fmla="*/ 53418 h 419100"/>
                <a:gd name="connsiteX26" fmla="*/ 140073 w 514350"/>
                <a:gd name="connsiteY26" fmla="*/ 0 h 4191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Lst>
              <a:rect l="l" t="t" r="r" b="b"/>
              <a:pathLst>
                <a:path w="514350" h="419100">
                  <a:moveTo>
                    <a:pt x="140073" y="0"/>
                  </a:moveTo>
                  <a:lnTo>
                    <a:pt x="140073" y="0"/>
                  </a:lnTo>
                  <a:lnTo>
                    <a:pt x="207656" y="21327"/>
                  </a:lnTo>
                  <a:lnTo>
                    <a:pt x="240735" y="29122"/>
                  </a:lnTo>
                  <a:lnTo>
                    <a:pt x="293124" y="39371"/>
                  </a:lnTo>
                  <a:lnTo>
                    <a:pt x="295656" y="47759"/>
                  </a:lnTo>
                  <a:lnTo>
                    <a:pt x="228865" y="71184"/>
                  </a:lnTo>
                  <a:lnTo>
                    <a:pt x="230447" y="81986"/>
                  </a:lnTo>
                  <a:lnTo>
                    <a:pt x="244217" y="112770"/>
                  </a:lnTo>
                  <a:lnTo>
                    <a:pt x="359599" y="95360"/>
                  </a:lnTo>
                  <a:lnTo>
                    <a:pt x="400117" y="99238"/>
                  </a:lnTo>
                  <a:lnTo>
                    <a:pt x="519615" y="114907"/>
                  </a:lnTo>
                  <a:lnTo>
                    <a:pt x="497773" y="296210"/>
                  </a:lnTo>
                  <a:lnTo>
                    <a:pt x="497456" y="329646"/>
                  </a:lnTo>
                  <a:lnTo>
                    <a:pt x="501413" y="352833"/>
                  </a:lnTo>
                  <a:lnTo>
                    <a:pt x="243109" y="375466"/>
                  </a:lnTo>
                  <a:lnTo>
                    <a:pt x="194677" y="387891"/>
                  </a:lnTo>
                  <a:lnTo>
                    <a:pt x="86576" y="424017"/>
                  </a:lnTo>
                  <a:lnTo>
                    <a:pt x="75180" y="376020"/>
                  </a:lnTo>
                  <a:lnTo>
                    <a:pt x="93382" y="375466"/>
                  </a:lnTo>
                  <a:lnTo>
                    <a:pt x="94490" y="284300"/>
                  </a:lnTo>
                  <a:lnTo>
                    <a:pt x="49065" y="285408"/>
                  </a:lnTo>
                  <a:lnTo>
                    <a:pt x="0" y="255732"/>
                  </a:lnTo>
                  <a:lnTo>
                    <a:pt x="69482" y="133267"/>
                  </a:lnTo>
                  <a:lnTo>
                    <a:pt x="97972" y="93857"/>
                  </a:lnTo>
                  <a:lnTo>
                    <a:pt x="114432" y="53418"/>
                  </a:lnTo>
                  <a:lnTo>
                    <a:pt x="140073" y="0"/>
                  </a:lnTo>
                </a:path>
              </a:pathLst>
            </a:custGeom>
            <a:solidFill>
              <a:srgbClr val="375623"/>
            </a:solidFill>
            <a:ln w="5132" cap="flat">
              <a:solidFill>
                <a:srgbClr val="030000"/>
              </a:solidFill>
              <a:prstDash val="solid"/>
              <a:miter/>
            </a:ln>
          </xdr:spPr>
          <xdr:txBody>
            <a:bodyPr rtlCol="0" anchor="ctr"/>
            <a:lstStyle/>
            <a:p>
              <a:endParaRPr lang="en-US"/>
            </a:p>
          </xdr:txBody>
        </xdr:sp>
        <xdr:sp macro="" textlink="">
          <xdr:nvSpPr>
            <xdr:cNvPr id="130" name="5_1">
              <a:extLst>
                <a:ext uri="{FF2B5EF4-FFF2-40B4-BE49-F238E27FC236}">
                  <a16:creationId xmlns:a16="http://schemas.microsoft.com/office/drawing/2014/main" id="{F203B9B4-2307-7B45-B22D-8035211AC662}"/>
                </a:ext>
              </a:extLst>
            </xdr:cNvPr>
            <xdr:cNvSpPr/>
          </xdr:nvSpPr>
          <xdr:spPr>
            <a:xfrm>
              <a:off x="6373506" y="3261256"/>
              <a:ext cx="1134533" cy="691092"/>
            </a:xfrm>
            <a:custGeom>
              <a:avLst/>
              <a:gdLst>
                <a:gd name="connsiteX0" fmla="*/ 3957 w 1143000"/>
                <a:gd name="connsiteY0" fmla="*/ 459114 h 657225"/>
                <a:gd name="connsiteX1" fmla="*/ 3957 w 1143000"/>
                <a:gd name="connsiteY1" fmla="*/ 459114 h 657225"/>
                <a:gd name="connsiteX2" fmla="*/ 0 w 1143000"/>
                <a:gd name="connsiteY2" fmla="*/ 435927 h 657225"/>
                <a:gd name="connsiteX3" fmla="*/ 317 w 1143000"/>
                <a:gd name="connsiteY3" fmla="*/ 402492 h 657225"/>
                <a:gd name="connsiteX4" fmla="*/ 22158 w 1143000"/>
                <a:gd name="connsiteY4" fmla="*/ 398693 h 657225"/>
                <a:gd name="connsiteX5" fmla="*/ 55079 w 1143000"/>
                <a:gd name="connsiteY5" fmla="*/ 371193 h 657225"/>
                <a:gd name="connsiteX6" fmla="*/ 100662 w 1143000"/>
                <a:gd name="connsiteY6" fmla="*/ 326401 h 657225"/>
                <a:gd name="connsiteX7" fmla="*/ 127253 w 1143000"/>
                <a:gd name="connsiteY7" fmla="*/ 294113 h 657225"/>
                <a:gd name="connsiteX8" fmla="*/ 159224 w 1143000"/>
                <a:gd name="connsiteY8" fmla="*/ 261667 h 657225"/>
                <a:gd name="connsiteX9" fmla="*/ 204807 w 1143000"/>
                <a:gd name="connsiteY9" fmla="*/ 231991 h 657225"/>
                <a:gd name="connsiteX10" fmla="*/ 321455 w 1143000"/>
                <a:gd name="connsiteY10" fmla="*/ 196379 h 657225"/>
                <a:gd name="connsiteX11" fmla="*/ 410089 w 1143000"/>
                <a:gd name="connsiteY11" fmla="*/ 171767 h 657225"/>
                <a:gd name="connsiteX12" fmla="*/ 434146 w 1143000"/>
                <a:gd name="connsiteY12" fmla="*/ 165080 h 657225"/>
                <a:gd name="connsiteX13" fmla="*/ 474506 w 1143000"/>
                <a:gd name="connsiteY13" fmla="*/ 145138 h 657225"/>
                <a:gd name="connsiteX14" fmla="*/ 496190 w 1143000"/>
                <a:gd name="connsiteY14" fmla="*/ 124641 h 657225"/>
                <a:gd name="connsiteX15" fmla="*/ 529744 w 1143000"/>
                <a:gd name="connsiteY15" fmla="*/ 100900 h 657225"/>
                <a:gd name="connsiteX16" fmla="*/ 576435 w 1143000"/>
                <a:gd name="connsiteY16" fmla="*/ 74982 h 657225"/>
                <a:gd name="connsiteX17" fmla="*/ 599227 w 1143000"/>
                <a:gd name="connsiteY17" fmla="*/ 65842 h 657225"/>
                <a:gd name="connsiteX18" fmla="*/ 672033 w 1143000"/>
                <a:gd name="connsiteY18" fmla="*/ 40993 h 657225"/>
                <a:gd name="connsiteX19" fmla="*/ 790897 w 1143000"/>
                <a:gd name="connsiteY19" fmla="*/ 0 h 657225"/>
                <a:gd name="connsiteX20" fmla="*/ 797703 w 1143000"/>
                <a:gd name="connsiteY20" fmla="*/ 30230 h 657225"/>
                <a:gd name="connsiteX21" fmla="*/ 800077 w 1143000"/>
                <a:gd name="connsiteY21" fmla="*/ 72846 h 657225"/>
                <a:gd name="connsiteX22" fmla="*/ 789789 w 1143000"/>
                <a:gd name="connsiteY22" fmla="*/ 113839 h 657225"/>
                <a:gd name="connsiteX23" fmla="*/ 784724 w 1143000"/>
                <a:gd name="connsiteY23" fmla="*/ 153763 h 657225"/>
                <a:gd name="connsiteX24" fmla="*/ 811947 w 1143000"/>
                <a:gd name="connsiteY24" fmla="*/ 165634 h 657225"/>
                <a:gd name="connsiteX25" fmla="*/ 847242 w 1143000"/>
                <a:gd name="connsiteY25" fmla="*/ 166702 h 657225"/>
                <a:gd name="connsiteX26" fmla="*/ 850091 w 1143000"/>
                <a:gd name="connsiteY26" fmla="*/ 161321 h 657225"/>
                <a:gd name="connsiteX27" fmla="*/ 851199 w 1143000"/>
                <a:gd name="connsiteY27" fmla="*/ 146760 h 657225"/>
                <a:gd name="connsiteX28" fmla="*/ 860854 w 1143000"/>
                <a:gd name="connsiteY28" fmla="*/ 119774 h 657225"/>
                <a:gd name="connsiteX29" fmla="*/ 864969 w 1143000"/>
                <a:gd name="connsiteY29" fmla="*/ 86259 h 657225"/>
                <a:gd name="connsiteX30" fmla="*/ 883171 w 1143000"/>
                <a:gd name="connsiteY30" fmla="*/ 85468 h 657225"/>
                <a:gd name="connsiteX31" fmla="*/ 899315 w 1143000"/>
                <a:gd name="connsiteY31" fmla="*/ 70630 h 657225"/>
                <a:gd name="connsiteX32" fmla="*/ 922898 w 1143000"/>
                <a:gd name="connsiteY32" fmla="*/ 81036 h 657225"/>
                <a:gd name="connsiteX33" fmla="*/ 946955 w 1143000"/>
                <a:gd name="connsiteY33" fmla="*/ 88752 h 657225"/>
                <a:gd name="connsiteX34" fmla="*/ 947905 w 1143000"/>
                <a:gd name="connsiteY34" fmla="*/ 82896 h 657225"/>
                <a:gd name="connsiteX35" fmla="*/ 972279 w 1143000"/>
                <a:gd name="connsiteY35" fmla="*/ 83608 h 657225"/>
                <a:gd name="connsiteX36" fmla="*/ 976078 w 1143000"/>
                <a:gd name="connsiteY36" fmla="*/ 88357 h 657225"/>
                <a:gd name="connsiteX37" fmla="*/ 996179 w 1143000"/>
                <a:gd name="connsiteY37" fmla="*/ 89108 h 657225"/>
                <a:gd name="connsiteX38" fmla="*/ 994596 w 1143000"/>
                <a:gd name="connsiteY38" fmla="*/ 100267 h 657225"/>
                <a:gd name="connsiteX39" fmla="*/ 986682 w 1143000"/>
                <a:gd name="connsiteY39" fmla="*/ 130576 h 657225"/>
                <a:gd name="connsiteX40" fmla="*/ 971646 w 1143000"/>
                <a:gd name="connsiteY40" fmla="*/ 177228 h 657225"/>
                <a:gd name="connsiteX41" fmla="*/ 966739 w 1143000"/>
                <a:gd name="connsiteY41" fmla="*/ 194836 h 657225"/>
                <a:gd name="connsiteX42" fmla="*/ 967056 w 1143000"/>
                <a:gd name="connsiteY42" fmla="*/ 221386 h 657225"/>
                <a:gd name="connsiteX43" fmla="*/ 974811 w 1143000"/>
                <a:gd name="connsiteY43" fmla="*/ 221347 h 657225"/>
                <a:gd name="connsiteX44" fmla="*/ 990797 w 1143000"/>
                <a:gd name="connsiteY44" fmla="*/ 226768 h 657225"/>
                <a:gd name="connsiteX45" fmla="*/ 1019603 w 1143000"/>
                <a:gd name="connsiteY45" fmla="*/ 226768 h 657225"/>
                <a:gd name="connsiteX46" fmla="*/ 1025301 w 1143000"/>
                <a:gd name="connsiteY46" fmla="*/ 221901 h 657225"/>
                <a:gd name="connsiteX47" fmla="*/ 1058697 w 1143000"/>
                <a:gd name="connsiteY47" fmla="*/ 221901 h 657225"/>
                <a:gd name="connsiteX48" fmla="*/ 1069143 w 1143000"/>
                <a:gd name="connsiteY48" fmla="*/ 273498 h 657225"/>
                <a:gd name="connsiteX49" fmla="*/ 1082913 w 1143000"/>
                <a:gd name="connsiteY49" fmla="*/ 322603 h 657225"/>
                <a:gd name="connsiteX50" fmla="*/ 1114726 w 1143000"/>
                <a:gd name="connsiteY50" fmla="*/ 425125 h 657225"/>
                <a:gd name="connsiteX51" fmla="*/ 1133561 w 1143000"/>
                <a:gd name="connsiteY51" fmla="*/ 507625 h 657225"/>
                <a:gd name="connsiteX52" fmla="*/ 1145431 w 1143000"/>
                <a:gd name="connsiteY52" fmla="*/ 586960 h 657225"/>
                <a:gd name="connsiteX53" fmla="*/ 1145431 w 1143000"/>
                <a:gd name="connsiteY53" fmla="*/ 629576 h 657225"/>
                <a:gd name="connsiteX54" fmla="*/ 1136884 w 1143000"/>
                <a:gd name="connsiteY54" fmla="*/ 659252 h 657225"/>
                <a:gd name="connsiteX55" fmla="*/ 926854 w 1143000"/>
                <a:gd name="connsiteY55" fmla="*/ 591273 h 657225"/>
                <a:gd name="connsiteX56" fmla="*/ 751012 w 1143000"/>
                <a:gd name="connsiteY56" fmla="*/ 578334 h 657225"/>
                <a:gd name="connsiteX57" fmla="*/ 724422 w 1143000"/>
                <a:gd name="connsiteY57" fmla="*/ 563773 h 657225"/>
                <a:gd name="connsiteX58" fmla="*/ 660637 w 1143000"/>
                <a:gd name="connsiteY58" fmla="*/ 563773 h 657225"/>
                <a:gd name="connsiteX59" fmla="*/ 601442 w 1143000"/>
                <a:gd name="connsiteY59" fmla="*/ 555147 h 657225"/>
                <a:gd name="connsiteX60" fmla="*/ 518348 w 1143000"/>
                <a:gd name="connsiteY60" fmla="*/ 532474 h 657225"/>
                <a:gd name="connsiteX61" fmla="*/ 415945 w 1143000"/>
                <a:gd name="connsiteY61" fmla="*/ 522740 h 657225"/>
                <a:gd name="connsiteX62" fmla="*/ 345355 w 1143000"/>
                <a:gd name="connsiteY62" fmla="*/ 518428 h 657225"/>
                <a:gd name="connsiteX63" fmla="*/ 281570 w 1143000"/>
                <a:gd name="connsiteY63" fmla="*/ 509802 h 657225"/>
                <a:gd name="connsiteX64" fmla="*/ 184864 w 1143000"/>
                <a:gd name="connsiteY64" fmla="*/ 484992 h 657225"/>
                <a:gd name="connsiteX65" fmla="*/ 82461 w 1143000"/>
                <a:gd name="connsiteY65" fmla="*/ 463427 h 657225"/>
                <a:gd name="connsiteX66" fmla="*/ 3957 w 1143000"/>
                <a:gd name="connsiteY66" fmla="*/ 459114 h 6572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Lst>
              <a:rect l="l" t="t" r="r" b="b"/>
              <a:pathLst>
                <a:path w="1143000" h="657225">
                  <a:moveTo>
                    <a:pt x="3957" y="459114"/>
                  </a:moveTo>
                  <a:lnTo>
                    <a:pt x="3957" y="459114"/>
                  </a:lnTo>
                  <a:lnTo>
                    <a:pt x="0" y="435927"/>
                  </a:lnTo>
                  <a:lnTo>
                    <a:pt x="317" y="402492"/>
                  </a:lnTo>
                  <a:lnTo>
                    <a:pt x="22158" y="398693"/>
                  </a:lnTo>
                  <a:lnTo>
                    <a:pt x="55079" y="371193"/>
                  </a:lnTo>
                  <a:lnTo>
                    <a:pt x="100662" y="326401"/>
                  </a:lnTo>
                  <a:lnTo>
                    <a:pt x="127253" y="294113"/>
                  </a:lnTo>
                  <a:lnTo>
                    <a:pt x="159224" y="261667"/>
                  </a:lnTo>
                  <a:lnTo>
                    <a:pt x="204807" y="231991"/>
                  </a:lnTo>
                  <a:lnTo>
                    <a:pt x="321455" y="196379"/>
                  </a:lnTo>
                  <a:lnTo>
                    <a:pt x="410089" y="171767"/>
                  </a:lnTo>
                  <a:lnTo>
                    <a:pt x="434146" y="165080"/>
                  </a:lnTo>
                  <a:lnTo>
                    <a:pt x="474506" y="145138"/>
                  </a:lnTo>
                  <a:lnTo>
                    <a:pt x="496190" y="124641"/>
                  </a:lnTo>
                  <a:lnTo>
                    <a:pt x="529744" y="100900"/>
                  </a:lnTo>
                  <a:lnTo>
                    <a:pt x="576435" y="74982"/>
                  </a:lnTo>
                  <a:lnTo>
                    <a:pt x="599227" y="65842"/>
                  </a:lnTo>
                  <a:lnTo>
                    <a:pt x="672033" y="40993"/>
                  </a:lnTo>
                  <a:lnTo>
                    <a:pt x="790897" y="0"/>
                  </a:lnTo>
                  <a:lnTo>
                    <a:pt x="797703" y="30230"/>
                  </a:lnTo>
                  <a:lnTo>
                    <a:pt x="800077" y="72846"/>
                  </a:lnTo>
                  <a:lnTo>
                    <a:pt x="789789" y="113839"/>
                  </a:lnTo>
                  <a:lnTo>
                    <a:pt x="784724" y="153763"/>
                  </a:lnTo>
                  <a:lnTo>
                    <a:pt x="811947" y="165634"/>
                  </a:lnTo>
                  <a:lnTo>
                    <a:pt x="847242" y="166702"/>
                  </a:lnTo>
                  <a:lnTo>
                    <a:pt x="850091" y="161321"/>
                  </a:lnTo>
                  <a:lnTo>
                    <a:pt x="851199" y="146760"/>
                  </a:lnTo>
                  <a:lnTo>
                    <a:pt x="860854" y="119774"/>
                  </a:lnTo>
                  <a:lnTo>
                    <a:pt x="864969" y="86259"/>
                  </a:lnTo>
                  <a:lnTo>
                    <a:pt x="883171" y="85468"/>
                  </a:lnTo>
                  <a:lnTo>
                    <a:pt x="899315" y="70630"/>
                  </a:lnTo>
                  <a:lnTo>
                    <a:pt x="922898" y="81036"/>
                  </a:lnTo>
                  <a:lnTo>
                    <a:pt x="946955" y="88752"/>
                  </a:lnTo>
                  <a:lnTo>
                    <a:pt x="947905" y="82896"/>
                  </a:lnTo>
                  <a:lnTo>
                    <a:pt x="972279" y="83608"/>
                  </a:lnTo>
                  <a:lnTo>
                    <a:pt x="976078" y="88357"/>
                  </a:lnTo>
                  <a:lnTo>
                    <a:pt x="996179" y="89108"/>
                  </a:lnTo>
                  <a:lnTo>
                    <a:pt x="994596" y="100267"/>
                  </a:lnTo>
                  <a:lnTo>
                    <a:pt x="986682" y="130576"/>
                  </a:lnTo>
                  <a:lnTo>
                    <a:pt x="971646" y="177228"/>
                  </a:lnTo>
                  <a:lnTo>
                    <a:pt x="966739" y="194836"/>
                  </a:lnTo>
                  <a:lnTo>
                    <a:pt x="967056" y="221386"/>
                  </a:lnTo>
                  <a:lnTo>
                    <a:pt x="974811" y="221347"/>
                  </a:lnTo>
                  <a:lnTo>
                    <a:pt x="990797" y="226768"/>
                  </a:lnTo>
                  <a:lnTo>
                    <a:pt x="1019603" y="226768"/>
                  </a:lnTo>
                  <a:lnTo>
                    <a:pt x="1025301" y="221901"/>
                  </a:lnTo>
                  <a:lnTo>
                    <a:pt x="1058697" y="221901"/>
                  </a:lnTo>
                  <a:lnTo>
                    <a:pt x="1069143" y="273498"/>
                  </a:lnTo>
                  <a:lnTo>
                    <a:pt x="1082913" y="322603"/>
                  </a:lnTo>
                  <a:lnTo>
                    <a:pt x="1114726" y="425125"/>
                  </a:lnTo>
                  <a:lnTo>
                    <a:pt x="1133561" y="507625"/>
                  </a:lnTo>
                  <a:lnTo>
                    <a:pt x="1145431" y="586960"/>
                  </a:lnTo>
                  <a:lnTo>
                    <a:pt x="1145431" y="629576"/>
                  </a:lnTo>
                  <a:lnTo>
                    <a:pt x="1136884" y="659252"/>
                  </a:lnTo>
                  <a:lnTo>
                    <a:pt x="926854" y="591273"/>
                  </a:lnTo>
                  <a:lnTo>
                    <a:pt x="751012" y="578334"/>
                  </a:lnTo>
                  <a:lnTo>
                    <a:pt x="724422" y="563773"/>
                  </a:lnTo>
                  <a:lnTo>
                    <a:pt x="660637" y="563773"/>
                  </a:lnTo>
                  <a:lnTo>
                    <a:pt x="601442" y="555147"/>
                  </a:lnTo>
                  <a:lnTo>
                    <a:pt x="518348" y="532474"/>
                  </a:lnTo>
                  <a:lnTo>
                    <a:pt x="415945" y="522740"/>
                  </a:lnTo>
                  <a:lnTo>
                    <a:pt x="345355" y="518428"/>
                  </a:lnTo>
                  <a:lnTo>
                    <a:pt x="281570" y="509802"/>
                  </a:lnTo>
                  <a:lnTo>
                    <a:pt x="184864" y="484992"/>
                  </a:lnTo>
                  <a:lnTo>
                    <a:pt x="82461" y="463427"/>
                  </a:lnTo>
                  <a:lnTo>
                    <a:pt x="3957" y="459114"/>
                  </a:lnTo>
                </a:path>
              </a:pathLst>
            </a:custGeom>
            <a:solidFill>
              <a:srgbClr val="FFFFFF"/>
            </a:solidFill>
            <a:ln w="5132" cap="flat">
              <a:solidFill>
                <a:srgbClr val="030000"/>
              </a:solidFill>
              <a:prstDash val="solid"/>
              <a:miter/>
            </a:ln>
          </xdr:spPr>
          <xdr:txBody>
            <a:bodyPr rtlCol="0" anchor="ctr"/>
            <a:lstStyle/>
            <a:p>
              <a:endParaRPr lang="en-US"/>
            </a:p>
          </xdr:txBody>
        </xdr:sp>
        <xdr:sp macro="" textlink="">
          <xdr:nvSpPr>
            <xdr:cNvPr id="131" name="4_1">
              <a:extLst>
                <a:ext uri="{FF2B5EF4-FFF2-40B4-BE49-F238E27FC236}">
                  <a16:creationId xmlns:a16="http://schemas.microsoft.com/office/drawing/2014/main" id="{94197B84-6B7F-FD40-A10D-3C268114D5C4}"/>
                </a:ext>
              </a:extLst>
            </xdr:cNvPr>
            <xdr:cNvSpPr/>
          </xdr:nvSpPr>
          <xdr:spPr>
            <a:xfrm>
              <a:off x="7336012" y="2831227"/>
              <a:ext cx="991658" cy="1127125"/>
            </a:xfrm>
            <a:custGeom>
              <a:avLst/>
              <a:gdLst>
                <a:gd name="connsiteX0" fmla="*/ 79137 w 1000125"/>
                <a:gd name="connsiteY0" fmla="*/ 509248 h 1076325"/>
                <a:gd name="connsiteX1" fmla="*/ 79137 w 1000125"/>
                <a:gd name="connsiteY1" fmla="*/ 509248 h 1076325"/>
                <a:gd name="connsiteX2" fmla="*/ 72331 w 1000125"/>
                <a:gd name="connsiteY2" fmla="*/ 366168 h 1076325"/>
                <a:gd name="connsiteX3" fmla="*/ 165555 w 1000125"/>
                <a:gd name="connsiteY3" fmla="*/ 359164 h 1076325"/>
                <a:gd name="connsiteX4" fmla="*/ 188346 w 1000125"/>
                <a:gd name="connsiteY4" fmla="*/ 354337 h 1076325"/>
                <a:gd name="connsiteX5" fmla="*/ 249282 w 1000125"/>
                <a:gd name="connsiteY5" fmla="*/ 349984 h 1076325"/>
                <a:gd name="connsiteX6" fmla="*/ 243584 w 1000125"/>
                <a:gd name="connsiteY6" fmla="*/ 218379 h 1076325"/>
                <a:gd name="connsiteX7" fmla="*/ 240735 w 1000125"/>
                <a:gd name="connsiteY7" fmla="*/ 211336 h 1076325"/>
                <a:gd name="connsiteX8" fmla="*/ 203224 w 1000125"/>
                <a:gd name="connsiteY8" fmla="*/ 221624 h 1076325"/>
                <a:gd name="connsiteX9" fmla="*/ 170145 w 1000125"/>
                <a:gd name="connsiteY9" fmla="*/ 226451 h 1076325"/>
                <a:gd name="connsiteX10" fmla="*/ 163814 w 1000125"/>
                <a:gd name="connsiteY10" fmla="*/ 221624 h 1076325"/>
                <a:gd name="connsiteX11" fmla="*/ 153051 w 1000125"/>
                <a:gd name="connsiteY11" fmla="*/ 221070 h 1076325"/>
                <a:gd name="connsiteX12" fmla="*/ 148461 w 1000125"/>
                <a:gd name="connsiteY12" fmla="*/ 227005 h 1076325"/>
                <a:gd name="connsiteX13" fmla="*/ 138332 w 1000125"/>
                <a:gd name="connsiteY13" fmla="*/ 227559 h 1076325"/>
                <a:gd name="connsiteX14" fmla="*/ 134375 w 1000125"/>
                <a:gd name="connsiteY14" fmla="*/ 221070 h 1076325"/>
                <a:gd name="connsiteX15" fmla="*/ 60303 w 1000125"/>
                <a:gd name="connsiteY15" fmla="*/ 218379 h 1076325"/>
                <a:gd name="connsiteX16" fmla="*/ 58561 w 1000125"/>
                <a:gd name="connsiteY16" fmla="*/ 179008 h 1076325"/>
                <a:gd name="connsiteX17" fmla="*/ 80245 w 1000125"/>
                <a:gd name="connsiteY17" fmla="*/ 137461 h 1076325"/>
                <a:gd name="connsiteX18" fmla="*/ 94490 w 1000125"/>
                <a:gd name="connsiteY18" fmla="*/ 143950 h 1076325"/>
                <a:gd name="connsiteX19" fmla="*/ 132634 w 1000125"/>
                <a:gd name="connsiteY19" fmla="*/ 109961 h 1076325"/>
                <a:gd name="connsiteX20" fmla="*/ 158274 w 1000125"/>
                <a:gd name="connsiteY20" fmla="*/ 134771 h 1076325"/>
                <a:gd name="connsiteX21" fmla="*/ 168404 w 1000125"/>
                <a:gd name="connsiteY21" fmla="*/ 122346 h 1076325"/>
                <a:gd name="connsiteX22" fmla="*/ 143397 w 1000125"/>
                <a:gd name="connsiteY22" fmla="*/ 99713 h 1076325"/>
                <a:gd name="connsiteX23" fmla="*/ 153684 w 1000125"/>
                <a:gd name="connsiteY23" fmla="*/ 90533 h 1076325"/>
                <a:gd name="connsiteX24" fmla="*/ 155900 w 1000125"/>
                <a:gd name="connsiteY24" fmla="*/ 64655 h 1076325"/>
                <a:gd name="connsiteX25" fmla="*/ 167296 w 1000125"/>
                <a:gd name="connsiteY25" fmla="*/ 48986 h 1076325"/>
                <a:gd name="connsiteX26" fmla="*/ 190721 w 1000125"/>
                <a:gd name="connsiteY26" fmla="*/ 49540 h 1076325"/>
                <a:gd name="connsiteX27" fmla="*/ 220160 w 1000125"/>
                <a:gd name="connsiteY27" fmla="*/ 86774 h 1076325"/>
                <a:gd name="connsiteX28" fmla="*/ 228232 w 1000125"/>
                <a:gd name="connsiteY28" fmla="*/ 106162 h 1076325"/>
                <a:gd name="connsiteX29" fmla="*/ 238994 w 1000125"/>
                <a:gd name="connsiteY29" fmla="*/ 114274 h 1076325"/>
                <a:gd name="connsiteX30" fmla="*/ 260045 w 1000125"/>
                <a:gd name="connsiteY30" fmla="*/ 98091 h 1076325"/>
                <a:gd name="connsiteX31" fmla="*/ 290750 w 1000125"/>
                <a:gd name="connsiteY31" fmla="*/ 85666 h 1076325"/>
                <a:gd name="connsiteX32" fmla="*/ 253872 w 1000125"/>
                <a:gd name="connsiteY32" fmla="*/ 31734 h 1076325"/>
                <a:gd name="connsiteX33" fmla="*/ 249757 w 1000125"/>
                <a:gd name="connsiteY33" fmla="*/ 20932 h 1076325"/>
                <a:gd name="connsiteX34" fmla="*/ 324937 w 1000125"/>
                <a:gd name="connsiteY34" fmla="*/ 22040 h 1076325"/>
                <a:gd name="connsiteX35" fmla="*/ 336333 w 1000125"/>
                <a:gd name="connsiteY35" fmla="*/ 77594 h 1076325"/>
                <a:gd name="connsiteX36" fmla="*/ 483686 w 1000125"/>
                <a:gd name="connsiteY36" fmla="*/ 60342 h 1076325"/>
                <a:gd name="connsiteX37" fmla="*/ 485427 w 1000125"/>
                <a:gd name="connsiteY37" fmla="*/ 18795 h 1076325"/>
                <a:gd name="connsiteX38" fmla="*/ 430190 w 1000125"/>
                <a:gd name="connsiteY38" fmla="*/ 4788 h 1076325"/>
                <a:gd name="connsiteX39" fmla="*/ 430506 w 1000125"/>
                <a:gd name="connsiteY39" fmla="*/ 0 h 1076325"/>
                <a:gd name="connsiteX40" fmla="*/ 574219 w 1000125"/>
                <a:gd name="connsiteY40" fmla="*/ 3165 h 1076325"/>
                <a:gd name="connsiteX41" fmla="*/ 572953 w 1000125"/>
                <a:gd name="connsiteY41" fmla="*/ 70590 h 1076325"/>
                <a:gd name="connsiteX42" fmla="*/ 490017 w 1000125"/>
                <a:gd name="connsiteY42" fmla="*/ 72727 h 1076325"/>
                <a:gd name="connsiteX43" fmla="*/ 549687 w 1000125"/>
                <a:gd name="connsiteY43" fmla="*/ 159580 h 1076325"/>
                <a:gd name="connsiteX44" fmla="*/ 562190 w 1000125"/>
                <a:gd name="connsiteY44" fmla="*/ 167692 h 1076325"/>
                <a:gd name="connsiteX45" fmla="*/ 607140 w 1000125"/>
                <a:gd name="connsiteY45" fmla="*/ 236185 h 1076325"/>
                <a:gd name="connsiteX46" fmla="*/ 542881 w 1000125"/>
                <a:gd name="connsiteY46" fmla="*/ 260994 h 1076325"/>
                <a:gd name="connsiteX47" fmla="*/ 521197 w 1000125"/>
                <a:gd name="connsiteY47" fmla="*/ 270689 h 1076325"/>
                <a:gd name="connsiteX48" fmla="*/ 514392 w 1000125"/>
                <a:gd name="connsiteY48" fmla="*/ 277692 h 1076325"/>
                <a:gd name="connsiteX49" fmla="*/ 486535 w 1000125"/>
                <a:gd name="connsiteY49" fmla="*/ 307923 h 1076325"/>
                <a:gd name="connsiteX50" fmla="*/ 488751 w 1000125"/>
                <a:gd name="connsiteY50" fmla="*/ 313304 h 1076325"/>
                <a:gd name="connsiteX51" fmla="*/ 500147 w 1000125"/>
                <a:gd name="connsiteY51" fmla="*/ 316034 h 1076325"/>
                <a:gd name="connsiteX52" fmla="*/ 558867 w 1000125"/>
                <a:gd name="connsiteY52" fmla="*/ 286872 h 1076325"/>
                <a:gd name="connsiteX53" fmla="*/ 569629 w 1000125"/>
                <a:gd name="connsiteY53" fmla="*/ 279869 h 1076325"/>
                <a:gd name="connsiteX54" fmla="*/ 595745 w 1000125"/>
                <a:gd name="connsiteY54" fmla="*/ 260440 h 1076325"/>
                <a:gd name="connsiteX55" fmla="*/ 621385 w 1000125"/>
                <a:gd name="connsiteY55" fmla="*/ 245365 h 1076325"/>
                <a:gd name="connsiteX56" fmla="*/ 653198 w 1000125"/>
                <a:gd name="connsiteY56" fmla="*/ 228627 h 1076325"/>
                <a:gd name="connsiteX57" fmla="*/ 688493 w 1000125"/>
                <a:gd name="connsiteY57" fmla="*/ 209753 h 1076325"/>
                <a:gd name="connsiteX58" fmla="*/ 713501 w 1000125"/>
                <a:gd name="connsiteY58" fmla="*/ 265307 h 1076325"/>
                <a:gd name="connsiteX59" fmla="*/ 719198 w 1000125"/>
                <a:gd name="connsiteY59" fmla="*/ 275556 h 1076325"/>
                <a:gd name="connsiteX60" fmla="*/ 757976 w 1000125"/>
                <a:gd name="connsiteY60" fmla="*/ 327865 h 1076325"/>
                <a:gd name="connsiteX61" fmla="*/ 766997 w 1000125"/>
                <a:gd name="connsiteY61" fmla="*/ 344603 h 1076325"/>
                <a:gd name="connsiteX62" fmla="*/ 778393 w 1000125"/>
                <a:gd name="connsiteY62" fmla="*/ 378038 h 1076325"/>
                <a:gd name="connsiteX63" fmla="*/ 800077 w 1000125"/>
                <a:gd name="connsiteY63" fmla="*/ 393707 h 1076325"/>
                <a:gd name="connsiteX64" fmla="*/ 829674 w 1000125"/>
                <a:gd name="connsiteY64" fmla="*/ 428211 h 1076325"/>
                <a:gd name="connsiteX65" fmla="*/ 897415 w 1000125"/>
                <a:gd name="connsiteY65" fmla="*/ 492945 h 1076325"/>
                <a:gd name="connsiteX66" fmla="*/ 914984 w 1000125"/>
                <a:gd name="connsiteY66" fmla="*/ 530179 h 1076325"/>
                <a:gd name="connsiteX67" fmla="*/ 915617 w 1000125"/>
                <a:gd name="connsiteY67" fmla="*/ 584111 h 1076325"/>
                <a:gd name="connsiteX68" fmla="*/ 910552 w 1000125"/>
                <a:gd name="connsiteY68" fmla="*/ 590047 h 1076325"/>
                <a:gd name="connsiteX69" fmla="*/ 911027 w 1000125"/>
                <a:gd name="connsiteY69" fmla="*/ 596536 h 1076325"/>
                <a:gd name="connsiteX70" fmla="*/ 917358 w 1000125"/>
                <a:gd name="connsiteY70" fmla="*/ 605162 h 1076325"/>
                <a:gd name="connsiteX71" fmla="*/ 923056 w 1000125"/>
                <a:gd name="connsiteY71" fmla="*/ 613788 h 1076325"/>
                <a:gd name="connsiteX72" fmla="*/ 928121 w 1000125"/>
                <a:gd name="connsiteY72" fmla="*/ 638597 h 1076325"/>
                <a:gd name="connsiteX73" fmla="*/ 918941 w 1000125"/>
                <a:gd name="connsiteY73" fmla="*/ 651022 h 1076325"/>
                <a:gd name="connsiteX74" fmla="*/ 914984 w 1000125"/>
                <a:gd name="connsiteY74" fmla="*/ 658025 h 1076325"/>
                <a:gd name="connsiteX75" fmla="*/ 917833 w 1000125"/>
                <a:gd name="connsiteY75" fmla="*/ 663961 h 1076325"/>
                <a:gd name="connsiteX76" fmla="*/ 957085 w 1000125"/>
                <a:gd name="connsiteY76" fmla="*/ 687148 h 1076325"/>
                <a:gd name="connsiteX77" fmla="*/ 968006 w 1000125"/>
                <a:gd name="connsiteY77" fmla="*/ 695774 h 1076325"/>
                <a:gd name="connsiteX78" fmla="*/ 973070 w 1000125"/>
                <a:gd name="connsiteY78" fmla="*/ 706022 h 1076325"/>
                <a:gd name="connsiteX79" fmla="*/ 983358 w 1000125"/>
                <a:gd name="connsiteY79" fmla="*/ 701709 h 1076325"/>
                <a:gd name="connsiteX80" fmla="*/ 994121 w 1000125"/>
                <a:gd name="connsiteY80" fmla="*/ 697950 h 1076325"/>
                <a:gd name="connsiteX81" fmla="*/ 997603 w 1000125"/>
                <a:gd name="connsiteY81" fmla="*/ 702817 h 1076325"/>
                <a:gd name="connsiteX82" fmla="*/ 998711 w 1000125"/>
                <a:gd name="connsiteY82" fmla="*/ 714648 h 1076325"/>
                <a:gd name="connsiteX83" fmla="*/ 998078 w 1000125"/>
                <a:gd name="connsiteY83" fmla="*/ 727627 h 1076325"/>
                <a:gd name="connsiteX84" fmla="*/ 1001560 w 1000125"/>
                <a:gd name="connsiteY84" fmla="*/ 746501 h 1076325"/>
                <a:gd name="connsiteX85" fmla="*/ 946322 w 1000125"/>
                <a:gd name="connsiteY85" fmla="*/ 806922 h 1076325"/>
                <a:gd name="connsiteX86" fmla="*/ 931603 w 1000125"/>
                <a:gd name="connsiteY86" fmla="*/ 797742 h 1076325"/>
                <a:gd name="connsiteX87" fmla="*/ 875257 w 1000125"/>
                <a:gd name="connsiteY87" fmla="*/ 792361 h 1076325"/>
                <a:gd name="connsiteX88" fmla="*/ 839329 w 1000125"/>
                <a:gd name="connsiteY88" fmla="*/ 794497 h 1076325"/>
                <a:gd name="connsiteX89" fmla="*/ 817170 w 1000125"/>
                <a:gd name="connsiteY89" fmla="*/ 799918 h 1076325"/>
                <a:gd name="connsiteX90" fmla="*/ 768738 w 1000125"/>
                <a:gd name="connsiteY90" fmla="*/ 819347 h 1076325"/>
                <a:gd name="connsiteX91" fmla="*/ 744364 w 1000125"/>
                <a:gd name="connsiteY91" fmla="*/ 820929 h 1076325"/>
                <a:gd name="connsiteX92" fmla="*/ 564564 w 1000125"/>
                <a:gd name="connsiteY92" fmla="*/ 824728 h 1076325"/>
                <a:gd name="connsiteX93" fmla="*/ 521197 w 1000125"/>
                <a:gd name="connsiteY93" fmla="*/ 843048 h 1076325"/>
                <a:gd name="connsiteX94" fmla="*/ 480363 w 1000125"/>
                <a:gd name="connsiteY94" fmla="*/ 880282 h 1076325"/>
                <a:gd name="connsiteX95" fmla="*/ 453456 w 1000125"/>
                <a:gd name="connsiteY95" fmla="*/ 932077 h 1076325"/>
                <a:gd name="connsiteX96" fmla="*/ 425600 w 1000125"/>
                <a:gd name="connsiteY96" fmla="*/ 992499 h 1076325"/>
                <a:gd name="connsiteX97" fmla="*/ 408031 w 1000125"/>
                <a:gd name="connsiteY97" fmla="*/ 1036222 h 1076325"/>
                <a:gd name="connsiteX98" fmla="*/ 384132 w 1000125"/>
                <a:gd name="connsiteY98" fmla="*/ 1066413 h 1076325"/>
                <a:gd name="connsiteX99" fmla="*/ 360865 w 1000125"/>
                <a:gd name="connsiteY99" fmla="*/ 1081528 h 1076325"/>
                <a:gd name="connsiteX100" fmla="*/ 308951 w 1000125"/>
                <a:gd name="connsiteY100" fmla="*/ 1085287 h 1076325"/>
                <a:gd name="connsiteX101" fmla="*/ 170145 w 1000125"/>
                <a:gd name="connsiteY101" fmla="*/ 1072348 h 1076325"/>
                <a:gd name="connsiteX102" fmla="*/ 178692 w 1000125"/>
                <a:gd name="connsiteY102" fmla="*/ 1042672 h 1076325"/>
                <a:gd name="connsiteX103" fmla="*/ 178692 w 1000125"/>
                <a:gd name="connsiteY103" fmla="*/ 1000056 h 1076325"/>
                <a:gd name="connsiteX104" fmla="*/ 166821 w 1000125"/>
                <a:gd name="connsiteY104" fmla="*/ 920721 h 1076325"/>
                <a:gd name="connsiteX105" fmla="*/ 147986 w 1000125"/>
                <a:gd name="connsiteY105" fmla="*/ 838221 h 1076325"/>
                <a:gd name="connsiteX106" fmla="*/ 116173 w 1000125"/>
                <a:gd name="connsiteY106" fmla="*/ 735699 h 1076325"/>
                <a:gd name="connsiteX107" fmla="*/ 102403 w 1000125"/>
                <a:gd name="connsiteY107" fmla="*/ 686594 h 1076325"/>
                <a:gd name="connsiteX108" fmla="*/ 91957 w 1000125"/>
                <a:gd name="connsiteY108" fmla="*/ 634997 h 1076325"/>
                <a:gd name="connsiteX109" fmla="*/ 58561 w 1000125"/>
                <a:gd name="connsiteY109" fmla="*/ 634997 h 1076325"/>
                <a:gd name="connsiteX110" fmla="*/ 52864 w 1000125"/>
                <a:gd name="connsiteY110" fmla="*/ 639863 h 1076325"/>
                <a:gd name="connsiteX111" fmla="*/ 24058 w 1000125"/>
                <a:gd name="connsiteY111" fmla="*/ 639863 h 1076325"/>
                <a:gd name="connsiteX112" fmla="*/ 8072 w 1000125"/>
                <a:gd name="connsiteY112" fmla="*/ 634443 h 1076325"/>
                <a:gd name="connsiteX113" fmla="*/ 317 w 1000125"/>
                <a:gd name="connsiteY113" fmla="*/ 634482 h 1076325"/>
                <a:gd name="connsiteX114" fmla="*/ 0 w 1000125"/>
                <a:gd name="connsiteY114" fmla="*/ 607932 h 1076325"/>
                <a:gd name="connsiteX115" fmla="*/ 4907 w 1000125"/>
                <a:gd name="connsiteY115" fmla="*/ 590324 h 1076325"/>
                <a:gd name="connsiteX116" fmla="*/ 19943 w 1000125"/>
                <a:gd name="connsiteY116" fmla="*/ 543672 h 1076325"/>
                <a:gd name="connsiteX117" fmla="*/ 27856 w 1000125"/>
                <a:gd name="connsiteY117" fmla="*/ 513363 h 1076325"/>
                <a:gd name="connsiteX118" fmla="*/ 29439 w 1000125"/>
                <a:gd name="connsiteY118" fmla="*/ 502204 h 1076325"/>
                <a:gd name="connsiteX119" fmla="*/ 47166 w 1000125"/>
                <a:gd name="connsiteY119" fmla="*/ 505330 h 1076325"/>
                <a:gd name="connsiteX120" fmla="*/ 52705 w 1000125"/>
                <a:gd name="connsiteY120" fmla="*/ 510870 h 1076325"/>
                <a:gd name="connsiteX121" fmla="*/ 79137 w 1000125"/>
                <a:gd name="connsiteY121" fmla="*/ 509248 h 10763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Lst>
              <a:rect l="l" t="t" r="r" b="b"/>
              <a:pathLst>
                <a:path w="1000125" h="1076325">
                  <a:moveTo>
                    <a:pt x="79137" y="509248"/>
                  </a:moveTo>
                  <a:lnTo>
                    <a:pt x="79137" y="509248"/>
                  </a:lnTo>
                  <a:lnTo>
                    <a:pt x="72331" y="366168"/>
                  </a:lnTo>
                  <a:lnTo>
                    <a:pt x="165555" y="359164"/>
                  </a:lnTo>
                  <a:lnTo>
                    <a:pt x="188346" y="354337"/>
                  </a:lnTo>
                  <a:lnTo>
                    <a:pt x="249282" y="349984"/>
                  </a:lnTo>
                  <a:lnTo>
                    <a:pt x="243584" y="218379"/>
                  </a:lnTo>
                  <a:lnTo>
                    <a:pt x="240735" y="211336"/>
                  </a:lnTo>
                  <a:lnTo>
                    <a:pt x="203224" y="221624"/>
                  </a:lnTo>
                  <a:lnTo>
                    <a:pt x="170145" y="226451"/>
                  </a:lnTo>
                  <a:lnTo>
                    <a:pt x="163814" y="221624"/>
                  </a:lnTo>
                  <a:lnTo>
                    <a:pt x="153051" y="221070"/>
                  </a:lnTo>
                  <a:lnTo>
                    <a:pt x="148461" y="227005"/>
                  </a:lnTo>
                  <a:lnTo>
                    <a:pt x="138332" y="227559"/>
                  </a:lnTo>
                  <a:lnTo>
                    <a:pt x="134375" y="221070"/>
                  </a:lnTo>
                  <a:lnTo>
                    <a:pt x="60303" y="218379"/>
                  </a:lnTo>
                  <a:lnTo>
                    <a:pt x="58561" y="179008"/>
                  </a:lnTo>
                  <a:lnTo>
                    <a:pt x="80245" y="137461"/>
                  </a:lnTo>
                  <a:lnTo>
                    <a:pt x="94490" y="143950"/>
                  </a:lnTo>
                  <a:lnTo>
                    <a:pt x="132634" y="109961"/>
                  </a:lnTo>
                  <a:lnTo>
                    <a:pt x="158274" y="134771"/>
                  </a:lnTo>
                  <a:lnTo>
                    <a:pt x="168404" y="122346"/>
                  </a:lnTo>
                  <a:lnTo>
                    <a:pt x="143397" y="99713"/>
                  </a:lnTo>
                  <a:lnTo>
                    <a:pt x="153684" y="90533"/>
                  </a:lnTo>
                  <a:lnTo>
                    <a:pt x="155900" y="64655"/>
                  </a:lnTo>
                  <a:lnTo>
                    <a:pt x="167296" y="48986"/>
                  </a:lnTo>
                  <a:lnTo>
                    <a:pt x="190721" y="49540"/>
                  </a:lnTo>
                  <a:lnTo>
                    <a:pt x="220160" y="86774"/>
                  </a:lnTo>
                  <a:lnTo>
                    <a:pt x="228232" y="106162"/>
                  </a:lnTo>
                  <a:lnTo>
                    <a:pt x="238994" y="114274"/>
                  </a:lnTo>
                  <a:lnTo>
                    <a:pt x="260045" y="98091"/>
                  </a:lnTo>
                  <a:lnTo>
                    <a:pt x="290750" y="85666"/>
                  </a:lnTo>
                  <a:lnTo>
                    <a:pt x="253872" y="31734"/>
                  </a:lnTo>
                  <a:lnTo>
                    <a:pt x="249757" y="20932"/>
                  </a:lnTo>
                  <a:lnTo>
                    <a:pt x="324937" y="22040"/>
                  </a:lnTo>
                  <a:lnTo>
                    <a:pt x="336333" y="77594"/>
                  </a:lnTo>
                  <a:lnTo>
                    <a:pt x="483686" y="60342"/>
                  </a:lnTo>
                  <a:lnTo>
                    <a:pt x="485427" y="18795"/>
                  </a:lnTo>
                  <a:lnTo>
                    <a:pt x="430190" y="4788"/>
                  </a:lnTo>
                  <a:lnTo>
                    <a:pt x="430506" y="0"/>
                  </a:lnTo>
                  <a:lnTo>
                    <a:pt x="574219" y="3165"/>
                  </a:lnTo>
                  <a:lnTo>
                    <a:pt x="572953" y="70590"/>
                  </a:lnTo>
                  <a:lnTo>
                    <a:pt x="490017" y="72727"/>
                  </a:lnTo>
                  <a:lnTo>
                    <a:pt x="549687" y="159580"/>
                  </a:lnTo>
                  <a:lnTo>
                    <a:pt x="562190" y="167692"/>
                  </a:lnTo>
                  <a:lnTo>
                    <a:pt x="607140" y="236185"/>
                  </a:lnTo>
                  <a:lnTo>
                    <a:pt x="542881" y="260994"/>
                  </a:lnTo>
                  <a:lnTo>
                    <a:pt x="521197" y="270689"/>
                  </a:lnTo>
                  <a:lnTo>
                    <a:pt x="514392" y="277692"/>
                  </a:lnTo>
                  <a:lnTo>
                    <a:pt x="486535" y="307923"/>
                  </a:lnTo>
                  <a:lnTo>
                    <a:pt x="488751" y="313304"/>
                  </a:lnTo>
                  <a:lnTo>
                    <a:pt x="500147" y="316034"/>
                  </a:lnTo>
                  <a:lnTo>
                    <a:pt x="558867" y="286872"/>
                  </a:lnTo>
                  <a:lnTo>
                    <a:pt x="569629" y="279869"/>
                  </a:lnTo>
                  <a:lnTo>
                    <a:pt x="595745" y="260440"/>
                  </a:lnTo>
                  <a:lnTo>
                    <a:pt x="621385" y="245365"/>
                  </a:lnTo>
                  <a:lnTo>
                    <a:pt x="653198" y="228627"/>
                  </a:lnTo>
                  <a:lnTo>
                    <a:pt x="688493" y="209753"/>
                  </a:lnTo>
                  <a:lnTo>
                    <a:pt x="713501" y="265307"/>
                  </a:lnTo>
                  <a:lnTo>
                    <a:pt x="719198" y="275556"/>
                  </a:lnTo>
                  <a:lnTo>
                    <a:pt x="757976" y="327865"/>
                  </a:lnTo>
                  <a:lnTo>
                    <a:pt x="766997" y="344603"/>
                  </a:lnTo>
                  <a:lnTo>
                    <a:pt x="778393" y="378038"/>
                  </a:lnTo>
                  <a:lnTo>
                    <a:pt x="800077" y="393707"/>
                  </a:lnTo>
                  <a:lnTo>
                    <a:pt x="829674" y="428211"/>
                  </a:lnTo>
                  <a:lnTo>
                    <a:pt x="897415" y="492945"/>
                  </a:lnTo>
                  <a:lnTo>
                    <a:pt x="914984" y="530179"/>
                  </a:lnTo>
                  <a:lnTo>
                    <a:pt x="915617" y="584111"/>
                  </a:lnTo>
                  <a:lnTo>
                    <a:pt x="910552" y="590047"/>
                  </a:lnTo>
                  <a:lnTo>
                    <a:pt x="911027" y="596536"/>
                  </a:lnTo>
                  <a:lnTo>
                    <a:pt x="917358" y="605162"/>
                  </a:lnTo>
                  <a:lnTo>
                    <a:pt x="923056" y="613788"/>
                  </a:lnTo>
                  <a:lnTo>
                    <a:pt x="928121" y="638597"/>
                  </a:lnTo>
                  <a:lnTo>
                    <a:pt x="918941" y="651022"/>
                  </a:lnTo>
                  <a:lnTo>
                    <a:pt x="914984" y="658025"/>
                  </a:lnTo>
                  <a:lnTo>
                    <a:pt x="917833" y="663961"/>
                  </a:lnTo>
                  <a:lnTo>
                    <a:pt x="957085" y="687148"/>
                  </a:lnTo>
                  <a:lnTo>
                    <a:pt x="968006" y="695774"/>
                  </a:lnTo>
                  <a:lnTo>
                    <a:pt x="973070" y="706022"/>
                  </a:lnTo>
                  <a:lnTo>
                    <a:pt x="983358" y="701709"/>
                  </a:lnTo>
                  <a:lnTo>
                    <a:pt x="994121" y="697950"/>
                  </a:lnTo>
                  <a:lnTo>
                    <a:pt x="997603" y="702817"/>
                  </a:lnTo>
                  <a:lnTo>
                    <a:pt x="998711" y="714648"/>
                  </a:lnTo>
                  <a:lnTo>
                    <a:pt x="998078" y="727627"/>
                  </a:lnTo>
                  <a:lnTo>
                    <a:pt x="1001560" y="746501"/>
                  </a:lnTo>
                  <a:lnTo>
                    <a:pt x="946322" y="806922"/>
                  </a:lnTo>
                  <a:lnTo>
                    <a:pt x="931603" y="797742"/>
                  </a:lnTo>
                  <a:lnTo>
                    <a:pt x="875257" y="792361"/>
                  </a:lnTo>
                  <a:lnTo>
                    <a:pt x="839329" y="794497"/>
                  </a:lnTo>
                  <a:lnTo>
                    <a:pt x="817170" y="799918"/>
                  </a:lnTo>
                  <a:lnTo>
                    <a:pt x="768738" y="819347"/>
                  </a:lnTo>
                  <a:lnTo>
                    <a:pt x="744364" y="820929"/>
                  </a:lnTo>
                  <a:lnTo>
                    <a:pt x="564564" y="824728"/>
                  </a:lnTo>
                  <a:lnTo>
                    <a:pt x="521197" y="843048"/>
                  </a:lnTo>
                  <a:lnTo>
                    <a:pt x="480363" y="880282"/>
                  </a:lnTo>
                  <a:lnTo>
                    <a:pt x="453456" y="932077"/>
                  </a:lnTo>
                  <a:lnTo>
                    <a:pt x="425600" y="992499"/>
                  </a:lnTo>
                  <a:lnTo>
                    <a:pt x="408031" y="1036222"/>
                  </a:lnTo>
                  <a:lnTo>
                    <a:pt x="384132" y="1066413"/>
                  </a:lnTo>
                  <a:lnTo>
                    <a:pt x="360865" y="1081528"/>
                  </a:lnTo>
                  <a:lnTo>
                    <a:pt x="308951" y="1085287"/>
                  </a:lnTo>
                  <a:lnTo>
                    <a:pt x="170145" y="1072348"/>
                  </a:lnTo>
                  <a:lnTo>
                    <a:pt x="178692" y="1042672"/>
                  </a:lnTo>
                  <a:lnTo>
                    <a:pt x="178692" y="1000056"/>
                  </a:lnTo>
                  <a:lnTo>
                    <a:pt x="166821" y="920721"/>
                  </a:lnTo>
                  <a:lnTo>
                    <a:pt x="147986" y="838221"/>
                  </a:lnTo>
                  <a:lnTo>
                    <a:pt x="116173" y="735699"/>
                  </a:lnTo>
                  <a:lnTo>
                    <a:pt x="102403" y="686594"/>
                  </a:lnTo>
                  <a:lnTo>
                    <a:pt x="91957" y="634997"/>
                  </a:lnTo>
                  <a:lnTo>
                    <a:pt x="58561" y="634997"/>
                  </a:lnTo>
                  <a:lnTo>
                    <a:pt x="52864" y="639863"/>
                  </a:lnTo>
                  <a:lnTo>
                    <a:pt x="24058" y="639863"/>
                  </a:lnTo>
                  <a:lnTo>
                    <a:pt x="8072" y="634443"/>
                  </a:lnTo>
                  <a:lnTo>
                    <a:pt x="317" y="634482"/>
                  </a:lnTo>
                  <a:lnTo>
                    <a:pt x="0" y="607932"/>
                  </a:lnTo>
                  <a:lnTo>
                    <a:pt x="4907" y="590324"/>
                  </a:lnTo>
                  <a:lnTo>
                    <a:pt x="19943" y="543672"/>
                  </a:lnTo>
                  <a:lnTo>
                    <a:pt x="27856" y="513363"/>
                  </a:lnTo>
                  <a:lnTo>
                    <a:pt x="29439" y="502204"/>
                  </a:lnTo>
                  <a:lnTo>
                    <a:pt x="47166" y="505330"/>
                  </a:lnTo>
                  <a:lnTo>
                    <a:pt x="52705" y="510870"/>
                  </a:lnTo>
                  <a:lnTo>
                    <a:pt x="79137" y="509248"/>
                  </a:lnTo>
                </a:path>
              </a:pathLst>
            </a:custGeom>
            <a:solidFill>
              <a:srgbClr val="FFFFFF"/>
            </a:solidFill>
            <a:ln w="5132" cap="flat">
              <a:solidFill>
                <a:srgbClr val="030000"/>
              </a:solidFill>
              <a:prstDash val="solid"/>
              <a:miter/>
            </a:ln>
          </xdr:spPr>
          <xdr:txBody>
            <a:bodyPr rtlCol="0" anchor="ctr"/>
            <a:lstStyle/>
            <a:p>
              <a:endParaRPr lang="en-US"/>
            </a:p>
          </xdr:txBody>
        </xdr:sp>
        <xdr:sp macro="" textlink="">
          <xdr:nvSpPr>
            <xdr:cNvPr id="132" name="3_1">
              <a:extLst>
                <a:ext uri="{FF2B5EF4-FFF2-40B4-BE49-F238E27FC236}">
                  <a16:creationId xmlns:a16="http://schemas.microsoft.com/office/drawing/2014/main" id="{8DAEB901-FD74-2A4B-91A3-046967D04CA8}"/>
                </a:ext>
              </a:extLst>
            </xdr:cNvPr>
            <xdr:cNvSpPr/>
          </xdr:nvSpPr>
          <xdr:spPr>
            <a:xfrm>
              <a:off x="6373822" y="2287954"/>
              <a:ext cx="1496483" cy="1383242"/>
            </a:xfrm>
            <a:custGeom>
              <a:avLst/>
              <a:gdLst>
                <a:gd name="connsiteX0" fmla="*/ 21842 w 1504950"/>
                <a:gd name="connsiteY0" fmla="*/ 1152158 h 1323975"/>
                <a:gd name="connsiteX1" fmla="*/ 21842 w 1504950"/>
                <a:gd name="connsiteY1" fmla="*/ 1152158 h 1323975"/>
                <a:gd name="connsiteX2" fmla="*/ 70749 w 1504950"/>
                <a:gd name="connsiteY2" fmla="*/ 978966 h 1323975"/>
                <a:gd name="connsiteX3" fmla="*/ 158907 w 1504950"/>
                <a:gd name="connsiteY3" fmla="*/ 1009197 h 1323975"/>
                <a:gd name="connsiteX4" fmla="*/ 225541 w 1504950"/>
                <a:gd name="connsiteY4" fmla="*/ 1015132 h 1323975"/>
                <a:gd name="connsiteX5" fmla="*/ 229498 w 1504950"/>
                <a:gd name="connsiteY5" fmla="*/ 961714 h 1323975"/>
                <a:gd name="connsiteX6" fmla="*/ 260203 w 1504950"/>
                <a:gd name="connsiteY6" fmla="*/ 900779 h 1323975"/>
                <a:gd name="connsiteX7" fmla="*/ 149253 w 1504950"/>
                <a:gd name="connsiteY7" fmla="*/ 826350 h 1323975"/>
                <a:gd name="connsiteX8" fmla="*/ 148145 w 1504950"/>
                <a:gd name="connsiteY8" fmla="*/ 820929 h 1323975"/>
                <a:gd name="connsiteX9" fmla="*/ 172677 w 1504950"/>
                <a:gd name="connsiteY9" fmla="*/ 799364 h 1323975"/>
                <a:gd name="connsiteX10" fmla="*/ 214778 w 1504950"/>
                <a:gd name="connsiteY10" fmla="*/ 748123 h 1323975"/>
                <a:gd name="connsiteX11" fmla="*/ 224908 w 1504950"/>
                <a:gd name="connsiteY11" fmla="*/ 734076 h 1323975"/>
                <a:gd name="connsiteX12" fmla="*/ 246591 w 1504950"/>
                <a:gd name="connsiteY12" fmla="*/ 695774 h 1323975"/>
                <a:gd name="connsiteX13" fmla="*/ 260836 w 1504950"/>
                <a:gd name="connsiteY13" fmla="*/ 667720 h 1323975"/>
                <a:gd name="connsiteX14" fmla="*/ 295182 w 1504950"/>
                <a:gd name="connsiteY14" fmla="*/ 621029 h 1323975"/>
                <a:gd name="connsiteX15" fmla="*/ 293915 w 1504950"/>
                <a:gd name="connsiteY15" fmla="*/ 603025 h 1323975"/>
                <a:gd name="connsiteX16" fmla="*/ 278721 w 1504950"/>
                <a:gd name="connsiteY16" fmla="*/ 549331 h 1323975"/>
                <a:gd name="connsiteX17" fmla="*/ 184073 w 1504950"/>
                <a:gd name="connsiteY17" fmla="*/ 566345 h 1323975"/>
                <a:gd name="connsiteX18" fmla="*/ 186764 w 1504950"/>
                <a:gd name="connsiteY18" fmla="*/ 546363 h 1323975"/>
                <a:gd name="connsiteX19" fmla="*/ 188505 w 1504950"/>
                <a:gd name="connsiteY19" fmla="*/ 534532 h 1323975"/>
                <a:gd name="connsiteX20" fmla="*/ 196577 w 1504950"/>
                <a:gd name="connsiteY20" fmla="*/ 427459 h 1323975"/>
                <a:gd name="connsiteX21" fmla="*/ 201958 w 1504950"/>
                <a:gd name="connsiteY21" fmla="*/ 344603 h 1323975"/>
                <a:gd name="connsiteX22" fmla="*/ 217627 w 1504950"/>
                <a:gd name="connsiteY22" fmla="*/ 348955 h 1323975"/>
                <a:gd name="connsiteX23" fmla="*/ 233455 w 1504950"/>
                <a:gd name="connsiteY23" fmla="*/ 344642 h 1323975"/>
                <a:gd name="connsiteX24" fmla="*/ 250548 w 1504950"/>
                <a:gd name="connsiteY24" fmla="*/ 329567 h 1323975"/>
                <a:gd name="connsiteX25" fmla="*/ 257987 w 1504950"/>
                <a:gd name="connsiteY25" fmla="*/ 291779 h 1323975"/>
                <a:gd name="connsiteX26" fmla="*/ 267642 w 1504950"/>
                <a:gd name="connsiteY26" fmla="*/ 273458 h 1323975"/>
                <a:gd name="connsiteX27" fmla="*/ 305153 w 1504950"/>
                <a:gd name="connsiteY27" fmla="*/ 223839 h 1323975"/>
                <a:gd name="connsiteX28" fmla="*/ 305153 w 1504950"/>
                <a:gd name="connsiteY28" fmla="*/ 194717 h 1323975"/>
                <a:gd name="connsiteX29" fmla="*/ 343930 w 1504950"/>
                <a:gd name="connsiteY29" fmla="*/ 197962 h 1323975"/>
                <a:gd name="connsiteX30" fmla="*/ 359916 w 1504950"/>
                <a:gd name="connsiteY30" fmla="*/ 176397 h 1323975"/>
                <a:gd name="connsiteX31" fmla="*/ 371786 w 1504950"/>
                <a:gd name="connsiteY31" fmla="*/ 175526 h 1323975"/>
                <a:gd name="connsiteX32" fmla="*/ 375268 w 1504950"/>
                <a:gd name="connsiteY32" fmla="*/ 161796 h 1323975"/>
                <a:gd name="connsiteX33" fmla="*/ 407556 w 1504950"/>
                <a:gd name="connsiteY33" fmla="*/ 161282 h 1323975"/>
                <a:gd name="connsiteX34" fmla="*/ 449816 w 1504950"/>
                <a:gd name="connsiteY34" fmla="*/ 155900 h 1323975"/>
                <a:gd name="connsiteX35" fmla="*/ 495240 w 1504950"/>
                <a:gd name="connsiteY35" fmla="*/ 141853 h 1323975"/>
                <a:gd name="connsiteX36" fmla="*/ 545413 w 1504950"/>
                <a:gd name="connsiteY36" fmla="*/ 120249 h 1323975"/>
                <a:gd name="connsiteX37" fmla="*/ 549845 w 1504950"/>
                <a:gd name="connsiteY37" fmla="*/ 146166 h 1323975"/>
                <a:gd name="connsiteX38" fmla="*/ 607932 w 1504950"/>
                <a:gd name="connsiteY38" fmla="*/ 146166 h 1323975"/>
                <a:gd name="connsiteX39" fmla="*/ 601126 w 1504950"/>
                <a:gd name="connsiteY39" fmla="*/ 231397 h 1323975"/>
                <a:gd name="connsiteX40" fmla="*/ 631831 w 1504950"/>
                <a:gd name="connsiteY40" fmla="*/ 237847 h 1323975"/>
                <a:gd name="connsiteX41" fmla="*/ 671716 w 1504950"/>
                <a:gd name="connsiteY41" fmla="*/ 176397 h 1323975"/>
                <a:gd name="connsiteX42" fmla="*/ 728537 w 1504950"/>
                <a:gd name="connsiteY42" fmla="*/ 132159 h 1323975"/>
                <a:gd name="connsiteX43" fmla="*/ 786623 w 1504950"/>
                <a:gd name="connsiteY43" fmla="*/ 95479 h 1323975"/>
                <a:gd name="connsiteX44" fmla="*/ 849142 w 1504950"/>
                <a:gd name="connsiteY44" fmla="*/ 82065 h 1323975"/>
                <a:gd name="connsiteX45" fmla="*/ 861171 w 1504950"/>
                <a:gd name="connsiteY45" fmla="*/ 83608 h 1323975"/>
                <a:gd name="connsiteX46" fmla="*/ 863386 w 1504950"/>
                <a:gd name="connsiteY46" fmla="*/ 90058 h 1323975"/>
                <a:gd name="connsiteX47" fmla="*/ 876523 w 1504950"/>
                <a:gd name="connsiteY47" fmla="*/ 79810 h 1323975"/>
                <a:gd name="connsiteX48" fmla="*/ 891717 w 1504950"/>
                <a:gd name="connsiteY48" fmla="*/ 70234 h 1323975"/>
                <a:gd name="connsiteX49" fmla="*/ 910552 w 1504950"/>
                <a:gd name="connsiteY49" fmla="*/ 62637 h 1323975"/>
                <a:gd name="connsiteX50" fmla="*/ 950437 w 1504950"/>
                <a:gd name="connsiteY50" fmla="*/ 9180 h 1323975"/>
                <a:gd name="connsiteX51" fmla="*/ 961833 w 1504950"/>
                <a:gd name="connsiteY51" fmla="*/ 0 h 1323975"/>
                <a:gd name="connsiteX52" fmla="*/ 986365 w 1504950"/>
                <a:gd name="connsiteY52" fmla="*/ 25363 h 1323975"/>
                <a:gd name="connsiteX53" fmla="*/ 1017704 w 1504950"/>
                <a:gd name="connsiteY53" fmla="*/ 47997 h 1323975"/>
                <a:gd name="connsiteX54" fmla="*/ 1035905 w 1504950"/>
                <a:gd name="connsiteY54" fmla="*/ 45306 h 1323975"/>
                <a:gd name="connsiteX55" fmla="*/ 1060280 w 1504950"/>
                <a:gd name="connsiteY55" fmla="*/ 36680 h 1323975"/>
                <a:gd name="connsiteX56" fmla="*/ 1085287 w 1504950"/>
                <a:gd name="connsiteY56" fmla="*/ 17252 h 1323975"/>
                <a:gd name="connsiteX57" fmla="*/ 1105863 w 1504950"/>
                <a:gd name="connsiteY57" fmla="*/ 8112 h 1323975"/>
                <a:gd name="connsiteX58" fmla="*/ 1134352 w 1504950"/>
                <a:gd name="connsiteY58" fmla="*/ 4867 h 1323975"/>
                <a:gd name="connsiteX59" fmla="*/ 1178669 w 1504950"/>
                <a:gd name="connsiteY59" fmla="*/ 17252 h 1323975"/>
                <a:gd name="connsiteX60" fmla="*/ 1260655 w 1504950"/>
                <a:gd name="connsiteY60" fmla="*/ 37748 h 1323975"/>
                <a:gd name="connsiteX61" fmla="*/ 1354512 w 1504950"/>
                <a:gd name="connsiteY61" fmla="*/ 64180 h 1323975"/>
                <a:gd name="connsiteX62" fmla="*/ 1455807 w 1504950"/>
                <a:gd name="connsiteY62" fmla="*/ 90058 h 1323975"/>
                <a:gd name="connsiteX63" fmla="*/ 1513894 w 1504950"/>
                <a:gd name="connsiteY63" fmla="*/ 105173 h 1323975"/>
                <a:gd name="connsiteX64" fmla="*/ 1511520 w 1504950"/>
                <a:gd name="connsiteY64" fmla="*/ 125670 h 1323975"/>
                <a:gd name="connsiteX65" fmla="*/ 1485879 w 1504950"/>
                <a:gd name="connsiteY65" fmla="*/ 116490 h 1323975"/>
                <a:gd name="connsiteX66" fmla="*/ 1478599 w 1504950"/>
                <a:gd name="connsiteY66" fmla="*/ 180670 h 1323975"/>
                <a:gd name="connsiteX67" fmla="*/ 1452958 w 1504950"/>
                <a:gd name="connsiteY67" fmla="*/ 180670 h 1323975"/>
                <a:gd name="connsiteX68" fmla="*/ 1455807 w 1504950"/>
                <a:gd name="connsiteY68" fmla="*/ 199030 h 1323975"/>
                <a:gd name="connsiteX69" fmla="*/ 1449476 w 1504950"/>
                <a:gd name="connsiteY69" fmla="*/ 216282 h 1323975"/>
                <a:gd name="connsiteX70" fmla="*/ 1455174 w 1504950"/>
                <a:gd name="connsiteY70" fmla="*/ 301513 h 1323975"/>
                <a:gd name="connsiteX71" fmla="*/ 1461505 w 1504950"/>
                <a:gd name="connsiteY71" fmla="*/ 323631 h 1323975"/>
                <a:gd name="connsiteX72" fmla="*/ 1464829 w 1504950"/>
                <a:gd name="connsiteY72" fmla="*/ 382391 h 1323975"/>
                <a:gd name="connsiteX73" fmla="*/ 1459764 w 1504950"/>
                <a:gd name="connsiteY73" fmla="*/ 422869 h 1323975"/>
                <a:gd name="connsiteX74" fmla="*/ 1448368 w 1504950"/>
                <a:gd name="connsiteY74" fmla="*/ 435808 h 1323975"/>
                <a:gd name="connsiteX75" fmla="*/ 1436972 w 1504950"/>
                <a:gd name="connsiteY75" fmla="*/ 445542 h 1323975"/>
                <a:gd name="connsiteX76" fmla="*/ 1401836 w 1504950"/>
                <a:gd name="connsiteY76" fmla="*/ 444949 h 1323975"/>
                <a:gd name="connsiteX77" fmla="*/ 1398828 w 1504950"/>
                <a:gd name="connsiteY77" fmla="*/ 482737 h 1323975"/>
                <a:gd name="connsiteX78" fmla="*/ 1396929 w 1504950"/>
                <a:gd name="connsiteY78" fmla="*/ 517874 h 1323975"/>
                <a:gd name="connsiteX79" fmla="*/ 1396613 w 1504950"/>
                <a:gd name="connsiteY79" fmla="*/ 522661 h 1323975"/>
                <a:gd name="connsiteX80" fmla="*/ 1451850 w 1504950"/>
                <a:gd name="connsiteY80" fmla="*/ 536669 h 1323975"/>
                <a:gd name="connsiteX81" fmla="*/ 1450109 w 1504950"/>
                <a:gd name="connsiteY81" fmla="*/ 578216 h 1323975"/>
                <a:gd name="connsiteX82" fmla="*/ 1302756 w 1504950"/>
                <a:gd name="connsiteY82" fmla="*/ 595468 h 1323975"/>
                <a:gd name="connsiteX83" fmla="*/ 1291360 w 1504950"/>
                <a:gd name="connsiteY83" fmla="*/ 539913 h 1323975"/>
                <a:gd name="connsiteX84" fmla="*/ 1216180 w 1504950"/>
                <a:gd name="connsiteY84" fmla="*/ 538805 h 1323975"/>
                <a:gd name="connsiteX85" fmla="*/ 1220295 w 1504950"/>
                <a:gd name="connsiteY85" fmla="*/ 549608 h 1323975"/>
                <a:gd name="connsiteX86" fmla="*/ 1257173 w 1504950"/>
                <a:gd name="connsiteY86" fmla="*/ 603540 h 1323975"/>
                <a:gd name="connsiteX87" fmla="*/ 1226468 w 1504950"/>
                <a:gd name="connsiteY87" fmla="*/ 615964 h 1323975"/>
                <a:gd name="connsiteX88" fmla="*/ 1205417 w 1504950"/>
                <a:gd name="connsiteY88" fmla="*/ 632148 h 1323975"/>
                <a:gd name="connsiteX89" fmla="*/ 1194655 w 1504950"/>
                <a:gd name="connsiteY89" fmla="*/ 624036 h 1323975"/>
                <a:gd name="connsiteX90" fmla="*/ 1186583 w 1504950"/>
                <a:gd name="connsiteY90" fmla="*/ 604647 h 1323975"/>
                <a:gd name="connsiteX91" fmla="*/ 1157144 w 1504950"/>
                <a:gd name="connsiteY91" fmla="*/ 567413 h 1323975"/>
                <a:gd name="connsiteX92" fmla="*/ 1133719 w 1504950"/>
                <a:gd name="connsiteY92" fmla="*/ 566859 h 1323975"/>
                <a:gd name="connsiteX93" fmla="*/ 1122323 w 1504950"/>
                <a:gd name="connsiteY93" fmla="*/ 582529 h 1323975"/>
                <a:gd name="connsiteX94" fmla="*/ 1120107 w 1504950"/>
                <a:gd name="connsiteY94" fmla="*/ 608406 h 1323975"/>
                <a:gd name="connsiteX95" fmla="*/ 1109819 w 1504950"/>
                <a:gd name="connsiteY95" fmla="*/ 617586 h 1323975"/>
                <a:gd name="connsiteX96" fmla="*/ 1134827 w 1504950"/>
                <a:gd name="connsiteY96" fmla="*/ 640220 h 1323975"/>
                <a:gd name="connsiteX97" fmla="*/ 1124697 w 1504950"/>
                <a:gd name="connsiteY97" fmla="*/ 652644 h 1323975"/>
                <a:gd name="connsiteX98" fmla="*/ 1099057 w 1504950"/>
                <a:gd name="connsiteY98" fmla="*/ 627835 h 1323975"/>
                <a:gd name="connsiteX99" fmla="*/ 1060913 w 1504950"/>
                <a:gd name="connsiteY99" fmla="*/ 661824 h 1323975"/>
                <a:gd name="connsiteX100" fmla="*/ 1046668 w 1504950"/>
                <a:gd name="connsiteY100" fmla="*/ 655335 h 1323975"/>
                <a:gd name="connsiteX101" fmla="*/ 1024984 w 1504950"/>
                <a:gd name="connsiteY101" fmla="*/ 696882 h 1323975"/>
                <a:gd name="connsiteX102" fmla="*/ 1025618 w 1504950"/>
                <a:gd name="connsiteY102" fmla="*/ 708713 h 1323975"/>
                <a:gd name="connsiteX103" fmla="*/ 1026725 w 1504950"/>
                <a:gd name="connsiteY103" fmla="*/ 736253 h 1323975"/>
                <a:gd name="connsiteX104" fmla="*/ 1100798 w 1504950"/>
                <a:gd name="connsiteY104" fmla="*/ 738943 h 1323975"/>
                <a:gd name="connsiteX105" fmla="*/ 1104755 w 1504950"/>
                <a:gd name="connsiteY105" fmla="*/ 745432 h 1323975"/>
                <a:gd name="connsiteX106" fmla="*/ 1114884 w 1504950"/>
                <a:gd name="connsiteY106" fmla="*/ 744878 h 1323975"/>
                <a:gd name="connsiteX107" fmla="*/ 1119474 w 1504950"/>
                <a:gd name="connsiteY107" fmla="*/ 738943 h 1323975"/>
                <a:gd name="connsiteX108" fmla="*/ 1130237 w 1504950"/>
                <a:gd name="connsiteY108" fmla="*/ 739497 h 1323975"/>
                <a:gd name="connsiteX109" fmla="*/ 1136568 w 1504950"/>
                <a:gd name="connsiteY109" fmla="*/ 744325 h 1323975"/>
                <a:gd name="connsiteX110" fmla="*/ 1169647 w 1504950"/>
                <a:gd name="connsiteY110" fmla="*/ 739497 h 1323975"/>
                <a:gd name="connsiteX111" fmla="*/ 1207158 w 1504950"/>
                <a:gd name="connsiteY111" fmla="*/ 729209 h 1323975"/>
                <a:gd name="connsiteX112" fmla="*/ 1210007 w 1504950"/>
                <a:gd name="connsiteY112" fmla="*/ 736253 h 1323975"/>
                <a:gd name="connsiteX113" fmla="*/ 1215705 w 1504950"/>
                <a:gd name="connsiteY113" fmla="*/ 867858 h 1323975"/>
                <a:gd name="connsiteX114" fmla="*/ 1154769 w 1504950"/>
                <a:gd name="connsiteY114" fmla="*/ 872210 h 1323975"/>
                <a:gd name="connsiteX115" fmla="*/ 1131978 w 1504950"/>
                <a:gd name="connsiteY115" fmla="*/ 877038 h 1323975"/>
                <a:gd name="connsiteX116" fmla="*/ 1038754 w 1504950"/>
                <a:gd name="connsiteY116" fmla="*/ 884041 h 1323975"/>
                <a:gd name="connsiteX117" fmla="*/ 1045560 w 1504950"/>
                <a:gd name="connsiteY117" fmla="*/ 1027121 h 1323975"/>
                <a:gd name="connsiteX118" fmla="*/ 1019128 w 1504950"/>
                <a:gd name="connsiteY118" fmla="*/ 1028743 h 1323975"/>
                <a:gd name="connsiteX119" fmla="*/ 1013589 w 1504950"/>
                <a:gd name="connsiteY119" fmla="*/ 1023204 h 1323975"/>
                <a:gd name="connsiteX120" fmla="*/ 995862 w 1504950"/>
                <a:gd name="connsiteY120" fmla="*/ 1020078 h 1323975"/>
                <a:gd name="connsiteX121" fmla="*/ 975761 w 1504950"/>
                <a:gd name="connsiteY121" fmla="*/ 1019326 h 1323975"/>
                <a:gd name="connsiteX122" fmla="*/ 971963 w 1504950"/>
                <a:gd name="connsiteY122" fmla="*/ 1014578 h 1323975"/>
                <a:gd name="connsiteX123" fmla="*/ 947588 w 1504950"/>
                <a:gd name="connsiteY123" fmla="*/ 1013866 h 1323975"/>
                <a:gd name="connsiteX124" fmla="*/ 946639 w 1504950"/>
                <a:gd name="connsiteY124" fmla="*/ 1019722 h 1323975"/>
                <a:gd name="connsiteX125" fmla="*/ 922581 w 1504950"/>
                <a:gd name="connsiteY125" fmla="*/ 1012006 h 1323975"/>
                <a:gd name="connsiteX126" fmla="*/ 898998 w 1504950"/>
                <a:gd name="connsiteY126" fmla="*/ 1001599 h 1323975"/>
                <a:gd name="connsiteX127" fmla="*/ 882854 w 1504950"/>
                <a:gd name="connsiteY127" fmla="*/ 1016438 h 1323975"/>
                <a:gd name="connsiteX128" fmla="*/ 864653 w 1504950"/>
                <a:gd name="connsiteY128" fmla="*/ 1017229 h 1323975"/>
                <a:gd name="connsiteX129" fmla="*/ 860537 w 1504950"/>
                <a:gd name="connsiteY129" fmla="*/ 1050744 h 1323975"/>
                <a:gd name="connsiteX130" fmla="*/ 850883 w 1504950"/>
                <a:gd name="connsiteY130" fmla="*/ 1077729 h 1323975"/>
                <a:gd name="connsiteX131" fmla="*/ 849775 w 1504950"/>
                <a:gd name="connsiteY131" fmla="*/ 1092291 h 1323975"/>
                <a:gd name="connsiteX132" fmla="*/ 846926 w 1504950"/>
                <a:gd name="connsiteY132" fmla="*/ 1097672 h 1323975"/>
                <a:gd name="connsiteX133" fmla="*/ 811631 w 1504950"/>
                <a:gd name="connsiteY133" fmla="*/ 1096604 h 1323975"/>
                <a:gd name="connsiteX134" fmla="*/ 784407 w 1504950"/>
                <a:gd name="connsiteY134" fmla="*/ 1084733 h 1323975"/>
                <a:gd name="connsiteX135" fmla="*/ 789472 w 1504950"/>
                <a:gd name="connsiteY135" fmla="*/ 1044808 h 1323975"/>
                <a:gd name="connsiteX136" fmla="*/ 799760 w 1504950"/>
                <a:gd name="connsiteY136" fmla="*/ 1003815 h 1323975"/>
                <a:gd name="connsiteX137" fmla="*/ 797386 w 1504950"/>
                <a:gd name="connsiteY137" fmla="*/ 961200 h 1323975"/>
                <a:gd name="connsiteX138" fmla="*/ 790580 w 1504950"/>
                <a:gd name="connsiteY138" fmla="*/ 930969 h 1323975"/>
                <a:gd name="connsiteX139" fmla="*/ 671716 w 1504950"/>
                <a:gd name="connsiteY139" fmla="*/ 971963 h 1323975"/>
                <a:gd name="connsiteX140" fmla="*/ 598910 w 1504950"/>
                <a:gd name="connsiteY140" fmla="*/ 996812 h 1323975"/>
                <a:gd name="connsiteX141" fmla="*/ 576119 w 1504950"/>
                <a:gd name="connsiteY141" fmla="*/ 1005952 h 1323975"/>
                <a:gd name="connsiteX142" fmla="*/ 529428 w 1504950"/>
                <a:gd name="connsiteY142" fmla="*/ 1031869 h 1323975"/>
                <a:gd name="connsiteX143" fmla="*/ 495873 w 1504950"/>
                <a:gd name="connsiteY143" fmla="*/ 1055611 h 1323975"/>
                <a:gd name="connsiteX144" fmla="*/ 474190 w 1504950"/>
                <a:gd name="connsiteY144" fmla="*/ 1076107 h 1323975"/>
                <a:gd name="connsiteX145" fmla="*/ 433830 w 1504950"/>
                <a:gd name="connsiteY145" fmla="*/ 1096050 h 1323975"/>
                <a:gd name="connsiteX146" fmla="*/ 409772 w 1504950"/>
                <a:gd name="connsiteY146" fmla="*/ 1102737 h 1323975"/>
                <a:gd name="connsiteX147" fmla="*/ 321139 w 1504950"/>
                <a:gd name="connsiteY147" fmla="*/ 1127348 h 1323975"/>
                <a:gd name="connsiteX148" fmla="*/ 204490 w 1504950"/>
                <a:gd name="connsiteY148" fmla="*/ 1162960 h 1323975"/>
                <a:gd name="connsiteX149" fmla="*/ 158907 w 1504950"/>
                <a:gd name="connsiteY149" fmla="*/ 1192637 h 1323975"/>
                <a:gd name="connsiteX150" fmla="*/ 126936 w 1504950"/>
                <a:gd name="connsiteY150" fmla="*/ 1225083 h 1323975"/>
                <a:gd name="connsiteX151" fmla="*/ 100346 w 1504950"/>
                <a:gd name="connsiteY151" fmla="*/ 1257371 h 1323975"/>
                <a:gd name="connsiteX152" fmla="*/ 54763 w 1504950"/>
                <a:gd name="connsiteY152" fmla="*/ 1302162 h 1323975"/>
                <a:gd name="connsiteX153" fmla="*/ 21842 w 1504950"/>
                <a:gd name="connsiteY153" fmla="*/ 1329662 h 1323975"/>
                <a:gd name="connsiteX154" fmla="*/ 0 w 1504950"/>
                <a:gd name="connsiteY154" fmla="*/ 1333461 h 1323975"/>
                <a:gd name="connsiteX155" fmla="*/ 21842 w 1504950"/>
                <a:gd name="connsiteY155" fmla="*/ 1152158 h 13239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Lst>
              <a:rect l="l" t="t" r="r" b="b"/>
              <a:pathLst>
                <a:path w="1504950" h="1323975">
                  <a:moveTo>
                    <a:pt x="21842" y="1152158"/>
                  </a:moveTo>
                  <a:lnTo>
                    <a:pt x="21842" y="1152158"/>
                  </a:lnTo>
                  <a:lnTo>
                    <a:pt x="70749" y="978966"/>
                  </a:lnTo>
                  <a:lnTo>
                    <a:pt x="158907" y="1009197"/>
                  </a:lnTo>
                  <a:lnTo>
                    <a:pt x="225541" y="1015132"/>
                  </a:lnTo>
                  <a:lnTo>
                    <a:pt x="229498" y="961714"/>
                  </a:lnTo>
                  <a:lnTo>
                    <a:pt x="260203" y="900779"/>
                  </a:lnTo>
                  <a:lnTo>
                    <a:pt x="149253" y="826350"/>
                  </a:lnTo>
                  <a:lnTo>
                    <a:pt x="148145" y="820929"/>
                  </a:lnTo>
                  <a:lnTo>
                    <a:pt x="172677" y="799364"/>
                  </a:lnTo>
                  <a:lnTo>
                    <a:pt x="214778" y="748123"/>
                  </a:lnTo>
                  <a:lnTo>
                    <a:pt x="224908" y="734076"/>
                  </a:lnTo>
                  <a:lnTo>
                    <a:pt x="246591" y="695774"/>
                  </a:lnTo>
                  <a:lnTo>
                    <a:pt x="260836" y="667720"/>
                  </a:lnTo>
                  <a:lnTo>
                    <a:pt x="295182" y="621029"/>
                  </a:lnTo>
                  <a:lnTo>
                    <a:pt x="293915" y="603025"/>
                  </a:lnTo>
                  <a:lnTo>
                    <a:pt x="278721" y="549331"/>
                  </a:lnTo>
                  <a:lnTo>
                    <a:pt x="184073" y="566345"/>
                  </a:lnTo>
                  <a:lnTo>
                    <a:pt x="186764" y="546363"/>
                  </a:lnTo>
                  <a:lnTo>
                    <a:pt x="188505" y="534532"/>
                  </a:lnTo>
                  <a:lnTo>
                    <a:pt x="196577" y="427459"/>
                  </a:lnTo>
                  <a:lnTo>
                    <a:pt x="201958" y="344603"/>
                  </a:lnTo>
                  <a:lnTo>
                    <a:pt x="217627" y="348955"/>
                  </a:lnTo>
                  <a:lnTo>
                    <a:pt x="233455" y="344642"/>
                  </a:lnTo>
                  <a:lnTo>
                    <a:pt x="250548" y="329567"/>
                  </a:lnTo>
                  <a:lnTo>
                    <a:pt x="257987" y="291779"/>
                  </a:lnTo>
                  <a:lnTo>
                    <a:pt x="267642" y="273458"/>
                  </a:lnTo>
                  <a:lnTo>
                    <a:pt x="305153" y="223839"/>
                  </a:lnTo>
                  <a:lnTo>
                    <a:pt x="305153" y="194717"/>
                  </a:lnTo>
                  <a:lnTo>
                    <a:pt x="343930" y="197962"/>
                  </a:lnTo>
                  <a:lnTo>
                    <a:pt x="359916" y="176397"/>
                  </a:lnTo>
                  <a:lnTo>
                    <a:pt x="371786" y="175526"/>
                  </a:lnTo>
                  <a:lnTo>
                    <a:pt x="375268" y="161796"/>
                  </a:lnTo>
                  <a:lnTo>
                    <a:pt x="407556" y="161282"/>
                  </a:lnTo>
                  <a:lnTo>
                    <a:pt x="449816" y="155900"/>
                  </a:lnTo>
                  <a:lnTo>
                    <a:pt x="495240" y="141853"/>
                  </a:lnTo>
                  <a:lnTo>
                    <a:pt x="545413" y="120249"/>
                  </a:lnTo>
                  <a:lnTo>
                    <a:pt x="549845" y="146166"/>
                  </a:lnTo>
                  <a:lnTo>
                    <a:pt x="607932" y="146166"/>
                  </a:lnTo>
                  <a:lnTo>
                    <a:pt x="601126" y="231397"/>
                  </a:lnTo>
                  <a:lnTo>
                    <a:pt x="631831" y="237847"/>
                  </a:lnTo>
                  <a:lnTo>
                    <a:pt x="671716" y="176397"/>
                  </a:lnTo>
                  <a:lnTo>
                    <a:pt x="728537" y="132159"/>
                  </a:lnTo>
                  <a:lnTo>
                    <a:pt x="786623" y="95479"/>
                  </a:lnTo>
                  <a:lnTo>
                    <a:pt x="849142" y="82065"/>
                  </a:lnTo>
                  <a:lnTo>
                    <a:pt x="861171" y="83608"/>
                  </a:lnTo>
                  <a:lnTo>
                    <a:pt x="863386" y="90058"/>
                  </a:lnTo>
                  <a:lnTo>
                    <a:pt x="876523" y="79810"/>
                  </a:lnTo>
                  <a:lnTo>
                    <a:pt x="891717" y="70234"/>
                  </a:lnTo>
                  <a:lnTo>
                    <a:pt x="910552" y="62637"/>
                  </a:lnTo>
                  <a:lnTo>
                    <a:pt x="950437" y="9180"/>
                  </a:lnTo>
                  <a:lnTo>
                    <a:pt x="961833" y="0"/>
                  </a:lnTo>
                  <a:lnTo>
                    <a:pt x="986365" y="25363"/>
                  </a:lnTo>
                  <a:lnTo>
                    <a:pt x="1017704" y="47997"/>
                  </a:lnTo>
                  <a:lnTo>
                    <a:pt x="1035905" y="45306"/>
                  </a:lnTo>
                  <a:lnTo>
                    <a:pt x="1060280" y="36680"/>
                  </a:lnTo>
                  <a:lnTo>
                    <a:pt x="1085287" y="17252"/>
                  </a:lnTo>
                  <a:lnTo>
                    <a:pt x="1105863" y="8112"/>
                  </a:lnTo>
                  <a:lnTo>
                    <a:pt x="1134352" y="4867"/>
                  </a:lnTo>
                  <a:lnTo>
                    <a:pt x="1178669" y="17252"/>
                  </a:lnTo>
                  <a:lnTo>
                    <a:pt x="1260655" y="37748"/>
                  </a:lnTo>
                  <a:lnTo>
                    <a:pt x="1354512" y="64180"/>
                  </a:lnTo>
                  <a:lnTo>
                    <a:pt x="1455807" y="90058"/>
                  </a:lnTo>
                  <a:lnTo>
                    <a:pt x="1513894" y="105173"/>
                  </a:lnTo>
                  <a:lnTo>
                    <a:pt x="1511520" y="125670"/>
                  </a:lnTo>
                  <a:lnTo>
                    <a:pt x="1485879" y="116490"/>
                  </a:lnTo>
                  <a:lnTo>
                    <a:pt x="1478599" y="180670"/>
                  </a:lnTo>
                  <a:lnTo>
                    <a:pt x="1452958" y="180670"/>
                  </a:lnTo>
                  <a:lnTo>
                    <a:pt x="1455807" y="199030"/>
                  </a:lnTo>
                  <a:lnTo>
                    <a:pt x="1449476" y="216282"/>
                  </a:lnTo>
                  <a:lnTo>
                    <a:pt x="1455174" y="301513"/>
                  </a:lnTo>
                  <a:lnTo>
                    <a:pt x="1461505" y="323631"/>
                  </a:lnTo>
                  <a:lnTo>
                    <a:pt x="1464829" y="382391"/>
                  </a:lnTo>
                  <a:lnTo>
                    <a:pt x="1459764" y="422869"/>
                  </a:lnTo>
                  <a:lnTo>
                    <a:pt x="1448368" y="435808"/>
                  </a:lnTo>
                  <a:lnTo>
                    <a:pt x="1436972" y="445542"/>
                  </a:lnTo>
                  <a:lnTo>
                    <a:pt x="1401836" y="444949"/>
                  </a:lnTo>
                  <a:lnTo>
                    <a:pt x="1398828" y="482737"/>
                  </a:lnTo>
                  <a:lnTo>
                    <a:pt x="1396929" y="517874"/>
                  </a:lnTo>
                  <a:lnTo>
                    <a:pt x="1396613" y="522661"/>
                  </a:lnTo>
                  <a:lnTo>
                    <a:pt x="1451850" y="536669"/>
                  </a:lnTo>
                  <a:lnTo>
                    <a:pt x="1450109" y="578216"/>
                  </a:lnTo>
                  <a:lnTo>
                    <a:pt x="1302756" y="595468"/>
                  </a:lnTo>
                  <a:lnTo>
                    <a:pt x="1291360" y="539913"/>
                  </a:lnTo>
                  <a:lnTo>
                    <a:pt x="1216180" y="538805"/>
                  </a:lnTo>
                  <a:lnTo>
                    <a:pt x="1220295" y="549608"/>
                  </a:lnTo>
                  <a:lnTo>
                    <a:pt x="1257173" y="603540"/>
                  </a:lnTo>
                  <a:lnTo>
                    <a:pt x="1226468" y="615964"/>
                  </a:lnTo>
                  <a:lnTo>
                    <a:pt x="1205417" y="632148"/>
                  </a:lnTo>
                  <a:lnTo>
                    <a:pt x="1194655" y="624036"/>
                  </a:lnTo>
                  <a:lnTo>
                    <a:pt x="1186583" y="604647"/>
                  </a:lnTo>
                  <a:lnTo>
                    <a:pt x="1157144" y="567413"/>
                  </a:lnTo>
                  <a:lnTo>
                    <a:pt x="1133719" y="566859"/>
                  </a:lnTo>
                  <a:lnTo>
                    <a:pt x="1122323" y="582529"/>
                  </a:lnTo>
                  <a:lnTo>
                    <a:pt x="1120107" y="608406"/>
                  </a:lnTo>
                  <a:lnTo>
                    <a:pt x="1109819" y="617586"/>
                  </a:lnTo>
                  <a:lnTo>
                    <a:pt x="1134827" y="640220"/>
                  </a:lnTo>
                  <a:lnTo>
                    <a:pt x="1124697" y="652644"/>
                  </a:lnTo>
                  <a:lnTo>
                    <a:pt x="1099057" y="627835"/>
                  </a:lnTo>
                  <a:lnTo>
                    <a:pt x="1060913" y="661824"/>
                  </a:lnTo>
                  <a:lnTo>
                    <a:pt x="1046668" y="655335"/>
                  </a:lnTo>
                  <a:lnTo>
                    <a:pt x="1024984" y="696882"/>
                  </a:lnTo>
                  <a:lnTo>
                    <a:pt x="1025618" y="708713"/>
                  </a:lnTo>
                  <a:lnTo>
                    <a:pt x="1026725" y="736253"/>
                  </a:lnTo>
                  <a:lnTo>
                    <a:pt x="1100798" y="738943"/>
                  </a:lnTo>
                  <a:lnTo>
                    <a:pt x="1104755" y="745432"/>
                  </a:lnTo>
                  <a:lnTo>
                    <a:pt x="1114884" y="744878"/>
                  </a:lnTo>
                  <a:lnTo>
                    <a:pt x="1119474" y="738943"/>
                  </a:lnTo>
                  <a:lnTo>
                    <a:pt x="1130237" y="739497"/>
                  </a:lnTo>
                  <a:lnTo>
                    <a:pt x="1136568" y="744325"/>
                  </a:lnTo>
                  <a:lnTo>
                    <a:pt x="1169647" y="739497"/>
                  </a:lnTo>
                  <a:lnTo>
                    <a:pt x="1207158" y="729209"/>
                  </a:lnTo>
                  <a:lnTo>
                    <a:pt x="1210007" y="736253"/>
                  </a:lnTo>
                  <a:lnTo>
                    <a:pt x="1215705" y="867858"/>
                  </a:lnTo>
                  <a:lnTo>
                    <a:pt x="1154769" y="872210"/>
                  </a:lnTo>
                  <a:lnTo>
                    <a:pt x="1131978" y="877038"/>
                  </a:lnTo>
                  <a:lnTo>
                    <a:pt x="1038754" y="884041"/>
                  </a:lnTo>
                  <a:lnTo>
                    <a:pt x="1045560" y="1027121"/>
                  </a:lnTo>
                  <a:lnTo>
                    <a:pt x="1019128" y="1028743"/>
                  </a:lnTo>
                  <a:lnTo>
                    <a:pt x="1013589" y="1023204"/>
                  </a:lnTo>
                  <a:lnTo>
                    <a:pt x="995862" y="1020078"/>
                  </a:lnTo>
                  <a:lnTo>
                    <a:pt x="975761" y="1019326"/>
                  </a:lnTo>
                  <a:lnTo>
                    <a:pt x="971963" y="1014578"/>
                  </a:lnTo>
                  <a:lnTo>
                    <a:pt x="947588" y="1013866"/>
                  </a:lnTo>
                  <a:lnTo>
                    <a:pt x="946639" y="1019722"/>
                  </a:lnTo>
                  <a:lnTo>
                    <a:pt x="922581" y="1012006"/>
                  </a:lnTo>
                  <a:lnTo>
                    <a:pt x="898998" y="1001599"/>
                  </a:lnTo>
                  <a:lnTo>
                    <a:pt x="882854" y="1016438"/>
                  </a:lnTo>
                  <a:lnTo>
                    <a:pt x="864653" y="1017229"/>
                  </a:lnTo>
                  <a:lnTo>
                    <a:pt x="860537" y="1050744"/>
                  </a:lnTo>
                  <a:lnTo>
                    <a:pt x="850883" y="1077729"/>
                  </a:lnTo>
                  <a:lnTo>
                    <a:pt x="849775" y="1092291"/>
                  </a:lnTo>
                  <a:lnTo>
                    <a:pt x="846926" y="1097672"/>
                  </a:lnTo>
                  <a:lnTo>
                    <a:pt x="811631" y="1096604"/>
                  </a:lnTo>
                  <a:lnTo>
                    <a:pt x="784407" y="1084733"/>
                  </a:lnTo>
                  <a:lnTo>
                    <a:pt x="789472" y="1044808"/>
                  </a:lnTo>
                  <a:lnTo>
                    <a:pt x="799760" y="1003815"/>
                  </a:lnTo>
                  <a:lnTo>
                    <a:pt x="797386" y="961200"/>
                  </a:lnTo>
                  <a:lnTo>
                    <a:pt x="790580" y="930969"/>
                  </a:lnTo>
                  <a:lnTo>
                    <a:pt x="671716" y="971963"/>
                  </a:lnTo>
                  <a:lnTo>
                    <a:pt x="598910" y="996812"/>
                  </a:lnTo>
                  <a:lnTo>
                    <a:pt x="576119" y="1005952"/>
                  </a:lnTo>
                  <a:lnTo>
                    <a:pt x="529428" y="1031869"/>
                  </a:lnTo>
                  <a:lnTo>
                    <a:pt x="495873" y="1055611"/>
                  </a:lnTo>
                  <a:lnTo>
                    <a:pt x="474190" y="1076107"/>
                  </a:lnTo>
                  <a:lnTo>
                    <a:pt x="433830" y="1096050"/>
                  </a:lnTo>
                  <a:lnTo>
                    <a:pt x="409772" y="1102737"/>
                  </a:lnTo>
                  <a:lnTo>
                    <a:pt x="321139" y="1127348"/>
                  </a:lnTo>
                  <a:lnTo>
                    <a:pt x="204490" y="1162960"/>
                  </a:lnTo>
                  <a:lnTo>
                    <a:pt x="158907" y="1192637"/>
                  </a:lnTo>
                  <a:lnTo>
                    <a:pt x="126936" y="1225083"/>
                  </a:lnTo>
                  <a:lnTo>
                    <a:pt x="100346" y="1257371"/>
                  </a:lnTo>
                  <a:lnTo>
                    <a:pt x="54763" y="1302162"/>
                  </a:lnTo>
                  <a:lnTo>
                    <a:pt x="21842" y="1329662"/>
                  </a:lnTo>
                  <a:lnTo>
                    <a:pt x="0" y="1333461"/>
                  </a:lnTo>
                  <a:lnTo>
                    <a:pt x="21842" y="1152158"/>
                  </a:lnTo>
                </a:path>
              </a:pathLst>
            </a:custGeom>
            <a:solidFill>
              <a:srgbClr val="FFFFFF"/>
            </a:solidFill>
            <a:ln w="5132" cap="flat">
              <a:solidFill>
                <a:srgbClr val="030000"/>
              </a:solidFill>
              <a:prstDash val="solid"/>
              <a:miter/>
            </a:ln>
          </xdr:spPr>
          <xdr:txBody>
            <a:bodyPr rtlCol="0" anchor="ctr"/>
            <a:lstStyle/>
            <a:p>
              <a:endParaRPr lang="en-US"/>
            </a:p>
          </xdr:txBody>
        </xdr:sp>
        <xdr:sp macro="" textlink="">
          <xdr:nvSpPr>
            <xdr:cNvPr id="133" name="2_1">
              <a:extLst>
                <a:ext uri="{FF2B5EF4-FFF2-40B4-BE49-F238E27FC236}">
                  <a16:creationId xmlns:a16="http://schemas.microsoft.com/office/drawing/2014/main" id="{6D3B6C32-BABC-3342-9256-B2B7BE340A16}"/>
                </a:ext>
              </a:extLst>
            </xdr:cNvPr>
            <xdr:cNvSpPr/>
          </xdr:nvSpPr>
          <xdr:spPr>
            <a:xfrm>
              <a:off x="5912611" y="2648461"/>
              <a:ext cx="748242" cy="833967"/>
            </a:xfrm>
            <a:custGeom>
              <a:avLst/>
              <a:gdLst>
                <a:gd name="connsiteX0" fmla="*/ 32288 w 752475"/>
                <a:gd name="connsiteY0" fmla="*/ 298822 h 800100"/>
                <a:gd name="connsiteX1" fmla="*/ 32288 w 752475"/>
                <a:gd name="connsiteY1" fmla="*/ 298822 h 800100"/>
                <a:gd name="connsiteX2" fmla="*/ 96073 w 752475"/>
                <a:gd name="connsiteY2" fmla="*/ 335502 h 800100"/>
                <a:gd name="connsiteX3" fmla="*/ 96073 w 752475"/>
                <a:gd name="connsiteY3" fmla="*/ 348441 h 800100"/>
                <a:gd name="connsiteX4" fmla="*/ 108576 w 752475"/>
                <a:gd name="connsiteY4" fmla="*/ 348441 h 800100"/>
                <a:gd name="connsiteX5" fmla="*/ 175843 w 752475"/>
                <a:gd name="connsiteY5" fmla="*/ 379740 h 800100"/>
                <a:gd name="connsiteX6" fmla="*/ 207656 w 752475"/>
                <a:gd name="connsiteY6" fmla="*/ 374319 h 800100"/>
                <a:gd name="connsiteX7" fmla="*/ 192778 w 752475"/>
                <a:gd name="connsiteY7" fmla="*/ 303135 h 800100"/>
                <a:gd name="connsiteX8" fmla="*/ 181382 w 752475"/>
                <a:gd name="connsiteY8" fmla="*/ 278879 h 800100"/>
                <a:gd name="connsiteX9" fmla="*/ 194519 w 752475"/>
                <a:gd name="connsiteY9" fmla="*/ 277732 h 800100"/>
                <a:gd name="connsiteX10" fmla="*/ 220476 w 752475"/>
                <a:gd name="connsiteY10" fmla="*/ 275872 h 800100"/>
                <a:gd name="connsiteX11" fmla="*/ 246275 w 752475"/>
                <a:gd name="connsiteY11" fmla="*/ 270768 h 800100"/>
                <a:gd name="connsiteX12" fmla="*/ 264476 w 752475"/>
                <a:gd name="connsiteY12" fmla="*/ 268117 h 800100"/>
                <a:gd name="connsiteX13" fmla="*/ 295340 w 752475"/>
                <a:gd name="connsiteY13" fmla="*/ 265386 h 800100"/>
                <a:gd name="connsiteX14" fmla="*/ 335858 w 752475"/>
                <a:gd name="connsiteY14" fmla="*/ 260361 h 800100"/>
                <a:gd name="connsiteX15" fmla="*/ 358333 w 752475"/>
                <a:gd name="connsiteY15" fmla="*/ 225580 h 800100"/>
                <a:gd name="connsiteX16" fmla="*/ 354376 w 752475"/>
                <a:gd name="connsiteY16" fmla="*/ 197408 h 800100"/>
                <a:gd name="connsiteX17" fmla="*/ 352477 w 752475"/>
                <a:gd name="connsiteY17" fmla="*/ 177702 h 800100"/>
                <a:gd name="connsiteX18" fmla="*/ 365297 w 752475"/>
                <a:gd name="connsiteY18" fmla="*/ 155900 h 800100"/>
                <a:gd name="connsiteX19" fmla="*/ 365772 w 752475"/>
                <a:gd name="connsiteY19" fmla="*/ 139163 h 800100"/>
                <a:gd name="connsiteX20" fmla="*/ 388563 w 752475"/>
                <a:gd name="connsiteY20" fmla="*/ 137026 h 800100"/>
                <a:gd name="connsiteX21" fmla="*/ 427341 w 752475"/>
                <a:gd name="connsiteY21" fmla="*/ 113285 h 800100"/>
                <a:gd name="connsiteX22" fmla="*/ 436679 w 752475"/>
                <a:gd name="connsiteY22" fmla="*/ 94806 h 800100"/>
                <a:gd name="connsiteX23" fmla="*/ 453456 w 752475"/>
                <a:gd name="connsiteY23" fmla="*/ 97101 h 800100"/>
                <a:gd name="connsiteX24" fmla="*/ 514866 w 752475"/>
                <a:gd name="connsiteY24" fmla="*/ 66910 h 800100"/>
                <a:gd name="connsiteX25" fmla="*/ 533068 w 752475"/>
                <a:gd name="connsiteY25" fmla="*/ 66910 h 800100"/>
                <a:gd name="connsiteX26" fmla="*/ 538766 w 752475"/>
                <a:gd name="connsiteY26" fmla="*/ 62558 h 800100"/>
                <a:gd name="connsiteX27" fmla="*/ 571212 w 752475"/>
                <a:gd name="connsiteY27" fmla="*/ 60382 h 800100"/>
                <a:gd name="connsiteX28" fmla="*/ 586090 w 752475"/>
                <a:gd name="connsiteY28" fmla="*/ 46374 h 800100"/>
                <a:gd name="connsiteX29" fmla="*/ 600809 w 752475"/>
                <a:gd name="connsiteY29" fmla="*/ 43169 h 800100"/>
                <a:gd name="connsiteX30" fmla="*/ 625342 w 752475"/>
                <a:gd name="connsiteY30" fmla="*/ 21565 h 800100"/>
                <a:gd name="connsiteX31" fmla="*/ 625342 w 752475"/>
                <a:gd name="connsiteY31" fmla="*/ 10763 h 800100"/>
                <a:gd name="connsiteX32" fmla="*/ 638953 w 752475"/>
                <a:gd name="connsiteY32" fmla="*/ 0 h 800100"/>
                <a:gd name="connsiteX33" fmla="*/ 663169 w 752475"/>
                <a:gd name="connsiteY33" fmla="*/ 1029 h 800100"/>
                <a:gd name="connsiteX34" fmla="*/ 659687 w 752475"/>
                <a:gd name="connsiteY34" fmla="*/ 56623 h 800100"/>
                <a:gd name="connsiteX35" fmla="*/ 657788 w 752475"/>
                <a:gd name="connsiteY35" fmla="*/ 83885 h 800100"/>
                <a:gd name="connsiteX36" fmla="*/ 649716 w 752475"/>
                <a:gd name="connsiteY36" fmla="*/ 190958 h 800100"/>
                <a:gd name="connsiteX37" fmla="*/ 647975 w 752475"/>
                <a:gd name="connsiteY37" fmla="*/ 202789 h 800100"/>
                <a:gd name="connsiteX38" fmla="*/ 645284 w 752475"/>
                <a:gd name="connsiteY38" fmla="*/ 222771 h 800100"/>
                <a:gd name="connsiteX39" fmla="*/ 739932 w 752475"/>
                <a:gd name="connsiteY39" fmla="*/ 205757 h 800100"/>
                <a:gd name="connsiteX40" fmla="*/ 755127 w 752475"/>
                <a:gd name="connsiteY40" fmla="*/ 259451 h 800100"/>
                <a:gd name="connsiteX41" fmla="*/ 756393 w 752475"/>
                <a:gd name="connsiteY41" fmla="*/ 277455 h 800100"/>
                <a:gd name="connsiteX42" fmla="*/ 722047 w 752475"/>
                <a:gd name="connsiteY42" fmla="*/ 324146 h 800100"/>
                <a:gd name="connsiteX43" fmla="*/ 707803 w 752475"/>
                <a:gd name="connsiteY43" fmla="*/ 352200 h 800100"/>
                <a:gd name="connsiteX44" fmla="*/ 686119 w 752475"/>
                <a:gd name="connsiteY44" fmla="*/ 390502 h 800100"/>
                <a:gd name="connsiteX45" fmla="*/ 675990 w 752475"/>
                <a:gd name="connsiteY45" fmla="*/ 404549 h 800100"/>
                <a:gd name="connsiteX46" fmla="*/ 633889 w 752475"/>
                <a:gd name="connsiteY46" fmla="*/ 455790 h 800100"/>
                <a:gd name="connsiteX47" fmla="*/ 609356 w 752475"/>
                <a:gd name="connsiteY47" fmla="*/ 477355 h 800100"/>
                <a:gd name="connsiteX48" fmla="*/ 610464 w 752475"/>
                <a:gd name="connsiteY48" fmla="*/ 482776 h 800100"/>
                <a:gd name="connsiteX49" fmla="*/ 679313 w 752475"/>
                <a:gd name="connsiteY49" fmla="*/ 528636 h 800100"/>
                <a:gd name="connsiteX50" fmla="*/ 721414 w 752475"/>
                <a:gd name="connsiteY50" fmla="*/ 557205 h 800100"/>
                <a:gd name="connsiteX51" fmla="*/ 690709 w 752475"/>
                <a:gd name="connsiteY51" fmla="*/ 618140 h 800100"/>
                <a:gd name="connsiteX52" fmla="*/ 686752 w 752475"/>
                <a:gd name="connsiteY52" fmla="*/ 671558 h 800100"/>
                <a:gd name="connsiteX53" fmla="*/ 620119 w 752475"/>
                <a:gd name="connsiteY53" fmla="*/ 665623 h 800100"/>
                <a:gd name="connsiteX54" fmla="*/ 531960 w 752475"/>
                <a:gd name="connsiteY54" fmla="*/ 635392 h 800100"/>
                <a:gd name="connsiteX55" fmla="*/ 483053 w 752475"/>
                <a:gd name="connsiteY55" fmla="*/ 808584 h 800100"/>
                <a:gd name="connsiteX56" fmla="*/ 363556 w 752475"/>
                <a:gd name="connsiteY56" fmla="*/ 792915 h 800100"/>
                <a:gd name="connsiteX57" fmla="*/ 323038 w 752475"/>
                <a:gd name="connsiteY57" fmla="*/ 789037 h 800100"/>
                <a:gd name="connsiteX58" fmla="*/ 207656 w 752475"/>
                <a:gd name="connsiteY58" fmla="*/ 806447 h 800100"/>
                <a:gd name="connsiteX59" fmla="*/ 193886 w 752475"/>
                <a:gd name="connsiteY59" fmla="*/ 775663 h 800100"/>
                <a:gd name="connsiteX60" fmla="*/ 192303 w 752475"/>
                <a:gd name="connsiteY60" fmla="*/ 764861 h 800100"/>
                <a:gd name="connsiteX61" fmla="*/ 259095 w 752475"/>
                <a:gd name="connsiteY61" fmla="*/ 741436 h 800100"/>
                <a:gd name="connsiteX62" fmla="*/ 256563 w 752475"/>
                <a:gd name="connsiteY62" fmla="*/ 733047 h 800100"/>
                <a:gd name="connsiteX63" fmla="*/ 204174 w 752475"/>
                <a:gd name="connsiteY63" fmla="*/ 722799 h 800100"/>
                <a:gd name="connsiteX64" fmla="*/ 171095 w 752475"/>
                <a:gd name="connsiteY64" fmla="*/ 715004 h 800100"/>
                <a:gd name="connsiteX65" fmla="*/ 103511 w 752475"/>
                <a:gd name="connsiteY65" fmla="*/ 693677 h 800100"/>
                <a:gd name="connsiteX66" fmla="*/ 106360 w 752475"/>
                <a:gd name="connsiteY66" fmla="*/ 679116 h 800100"/>
                <a:gd name="connsiteX67" fmla="*/ 89900 w 752475"/>
                <a:gd name="connsiteY67" fmla="*/ 664554 h 800100"/>
                <a:gd name="connsiteX68" fmla="*/ 66475 w 752475"/>
                <a:gd name="connsiteY68" fmla="*/ 658619 h 800100"/>
                <a:gd name="connsiteX69" fmla="*/ 30072 w 752475"/>
                <a:gd name="connsiteY69" fmla="*/ 651061 h 800100"/>
                <a:gd name="connsiteX70" fmla="*/ 18202 w 752475"/>
                <a:gd name="connsiteY70" fmla="*/ 545888 h 800100"/>
                <a:gd name="connsiteX71" fmla="*/ 14086 w 752475"/>
                <a:gd name="connsiteY71" fmla="*/ 503273 h 800100"/>
                <a:gd name="connsiteX72" fmla="*/ 0 w 752475"/>
                <a:gd name="connsiteY72" fmla="*/ 461172 h 800100"/>
                <a:gd name="connsiteX73" fmla="*/ 0 w 752475"/>
                <a:gd name="connsiteY73" fmla="*/ 446096 h 800100"/>
                <a:gd name="connsiteX74" fmla="*/ 6173 w 752475"/>
                <a:gd name="connsiteY74" fmla="*/ 416420 h 800100"/>
                <a:gd name="connsiteX75" fmla="*/ 16461 w 752475"/>
                <a:gd name="connsiteY75" fmla="*/ 382430 h 800100"/>
                <a:gd name="connsiteX76" fmla="*/ 22633 w 752475"/>
                <a:gd name="connsiteY76" fmla="*/ 366801 h 800100"/>
                <a:gd name="connsiteX77" fmla="*/ 28331 w 752475"/>
                <a:gd name="connsiteY77" fmla="*/ 345750 h 800100"/>
                <a:gd name="connsiteX78" fmla="*/ 36403 w 752475"/>
                <a:gd name="connsiteY78" fmla="*/ 320387 h 800100"/>
                <a:gd name="connsiteX79" fmla="*/ 32288 w 752475"/>
                <a:gd name="connsiteY79" fmla="*/ 298822 h 8001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Lst>
              <a:rect l="l" t="t" r="r" b="b"/>
              <a:pathLst>
                <a:path w="752475" h="800100">
                  <a:moveTo>
                    <a:pt x="32288" y="298822"/>
                  </a:moveTo>
                  <a:lnTo>
                    <a:pt x="32288" y="298822"/>
                  </a:lnTo>
                  <a:lnTo>
                    <a:pt x="96073" y="335502"/>
                  </a:lnTo>
                  <a:lnTo>
                    <a:pt x="96073" y="348441"/>
                  </a:lnTo>
                  <a:lnTo>
                    <a:pt x="108576" y="348441"/>
                  </a:lnTo>
                  <a:lnTo>
                    <a:pt x="175843" y="379740"/>
                  </a:lnTo>
                  <a:lnTo>
                    <a:pt x="207656" y="374319"/>
                  </a:lnTo>
                  <a:lnTo>
                    <a:pt x="192778" y="303135"/>
                  </a:lnTo>
                  <a:lnTo>
                    <a:pt x="181382" y="278879"/>
                  </a:lnTo>
                  <a:lnTo>
                    <a:pt x="194519" y="277732"/>
                  </a:lnTo>
                  <a:lnTo>
                    <a:pt x="220476" y="275872"/>
                  </a:lnTo>
                  <a:lnTo>
                    <a:pt x="246275" y="270768"/>
                  </a:lnTo>
                  <a:lnTo>
                    <a:pt x="264476" y="268117"/>
                  </a:lnTo>
                  <a:lnTo>
                    <a:pt x="295340" y="265386"/>
                  </a:lnTo>
                  <a:lnTo>
                    <a:pt x="335858" y="260361"/>
                  </a:lnTo>
                  <a:lnTo>
                    <a:pt x="358333" y="225580"/>
                  </a:lnTo>
                  <a:lnTo>
                    <a:pt x="354376" y="197408"/>
                  </a:lnTo>
                  <a:lnTo>
                    <a:pt x="352477" y="177702"/>
                  </a:lnTo>
                  <a:lnTo>
                    <a:pt x="365297" y="155900"/>
                  </a:lnTo>
                  <a:lnTo>
                    <a:pt x="365772" y="139163"/>
                  </a:lnTo>
                  <a:lnTo>
                    <a:pt x="388563" y="137026"/>
                  </a:lnTo>
                  <a:lnTo>
                    <a:pt x="427341" y="113285"/>
                  </a:lnTo>
                  <a:lnTo>
                    <a:pt x="436679" y="94806"/>
                  </a:lnTo>
                  <a:lnTo>
                    <a:pt x="453456" y="97101"/>
                  </a:lnTo>
                  <a:lnTo>
                    <a:pt x="514866" y="66910"/>
                  </a:lnTo>
                  <a:lnTo>
                    <a:pt x="533068" y="66910"/>
                  </a:lnTo>
                  <a:lnTo>
                    <a:pt x="538766" y="62558"/>
                  </a:lnTo>
                  <a:lnTo>
                    <a:pt x="571212" y="60382"/>
                  </a:lnTo>
                  <a:lnTo>
                    <a:pt x="586090" y="46374"/>
                  </a:lnTo>
                  <a:lnTo>
                    <a:pt x="600809" y="43169"/>
                  </a:lnTo>
                  <a:lnTo>
                    <a:pt x="625342" y="21565"/>
                  </a:lnTo>
                  <a:lnTo>
                    <a:pt x="625342" y="10763"/>
                  </a:lnTo>
                  <a:lnTo>
                    <a:pt x="638953" y="0"/>
                  </a:lnTo>
                  <a:lnTo>
                    <a:pt x="663169" y="1029"/>
                  </a:lnTo>
                  <a:lnTo>
                    <a:pt x="659687" y="56623"/>
                  </a:lnTo>
                  <a:lnTo>
                    <a:pt x="657788" y="83885"/>
                  </a:lnTo>
                  <a:lnTo>
                    <a:pt x="649716" y="190958"/>
                  </a:lnTo>
                  <a:lnTo>
                    <a:pt x="647975" y="202789"/>
                  </a:lnTo>
                  <a:lnTo>
                    <a:pt x="645284" y="222771"/>
                  </a:lnTo>
                  <a:lnTo>
                    <a:pt x="739932" y="205757"/>
                  </a:lnTo>
                  <a:lnTo>
                    <a:pt x="755127" y="259451"/>
                  </a:lnTo>
                  <a:lnTo>
                    <a:pt x="756393" y="277455"/>
                  </a:lnTo>
                  <a:lnTo>
                    <a:pt x="722047" y="324146"/>
                  </a:lnTo>
                  <a:lnTo>
                    <a:pt x="707803" y="352200"/>
                  </a:lnTo>
                  <a:lnTo>
                    <a:pt x="686119" y="390502"/>
                  </a:lnTo>
                  <a:lnTo>
                    <a:pt x="675990" y="404549"/>
                  </a:lnTo>
                  <a:lnTo>
                    <a:pt x="633889" y="455790"/>
                  </a:lnTo>
                  <a:lnTo>
                    <a:pt x="609356" y="477355"/>
                  </a:lnTo>
                  <a:lnTo>
                    <a:pt x="610464" y="482776"/>
                  </a:lnTo>
                  <a:lnTo>
                    <a:pt x="679313" y="528636"/>
                  </a:lnTo>
                  <a:lnTo>
                    <a:pt x="721414" y="557205"/>
                  </a:lnTo>
                  <a:lnTo>
                    <a:pt x="690709" y="618140"/>
                  </a:lnTo>
                  <a:lnTo>
                    <a:pt x="686752" y="671558"/>
                  </a:lnTo>
                  <a:lnTo>
                    <a:pt x="620119" y="665623"/>
                  </a:lnTo>
                  <a:lnTo>
                    <a:pt x="531960" y="635392"/>
                  </a:lnTo>
                  <a:lnTo>
                    <a:pt x="483053" y="808584"/>
                  </a:lnTo>
                  <a:lnTo>
                    <a:pt x="363556" y="792915"/>
                  </a:lnTo>
                  <a:lnTo>
                    <a:pt x="323038" y="789037"/>
                  </a:lnTo>
                  <a:lnTo>
                    <a:pt x="207656" y="806447"/>
                  </a:lnTo>
                  <a:lnTo>
                    <a:pt x="193886" y="775663"/>
                  </a:lnTo>
                  <a:lnTo>
                    <a:pt x="192303" y="764861"/>
                  </a:lnTo>
                  <a:lnTo>
                    <a:pt x="259095" y="741436"/>
                  </a:lnTo>
                  <a:lnTo>
                    <a:pt x="256563" y="733047"/>
                  </a:lnTo>
                  <a:lnTo>
                    <a:pt x="204174" y="722799"/>
                  </a:lnTo>
                  <a:lnTo>
                    <a:pt x="171095" y="715004"/>
                  </a:lnTo>
                  <a:lnTo>
                    <a:pt x="103511" y="693677"/>
                  </a:lnTo>
                  <a:lnTo>
                    <a:pt x="106360" y="679116"/>
                  </a:lnTo>
                  <a:lnTo>
                    <a:pt x="89900" y="664554"/>
                  </a:lnTo>
                  <a:lnTo>
                    <a:pt x="66475" y="658619"/>
                  </a:lnTo>
                  <a:lnTo>
                    <a:pt x="30072" y="651061"/>
                  </a:lnTo>
                  <a:lnTo>
                    <a:pt x="18202" y="545888"/>
                  </a:lnTo>
                  <a:lnTo>
                    <a:pt x="14086" y="503273"/>
                  </a:lnTo>
                  <a:lnTo>
                    <a:pt x="0" y="461172"/>
                  </a:lnTo>
                  <a:lnTo>
                    <a:pt x="0" y="446096"/>
                  </a:lnTo>
                  <a:lnTo>
                    <a:pt x="6173" y="416420"/>
                  </a:lnTo>
                  <a:lnTo>
                    <a:pt x="16461" y="382430"/>
                  </a:lnTo>
                  <a:lnTo>
                    <a:pt x="22633" y="366801"/>
                  </a:lnTo>
                  <a:lnTo>
                    <a:pt x="28331" y="345750"/>
                  </a:lnTo>
                  <a:lnTo>
                    <a:pt x="36403" y="320387"/>
                  </a:lnTo>
                  <a:lnTo>
                    <a:pt x="32288" y="298822"/>
                  </a:lnTo>
                </a:path>
              </a:pathLst>
            </a:custGeom>
            <a:solidFill>
              <a:srgbClr val="FFFFFF"/>
            </a:solidFill>
            <a:ln w="5132" cap="flat">
              <a:solidFill>
                <a:srgbClr val="030000"/>
              </a:solidFill>
              <a:prstDash val="solid"/>
              <a:miter/>
            </a:ln>
          </xdr:spPr>
          <xdr:txBody>
            <a:bodyPr rtlCol="0" anchor="ctr"/>
            <a:lstStyle/>
            <a:p>
              <a:endParaRPr lang="en-US"/>
            </a:p>
          </xdr:txBody>
        </xdr:sp>
        <xdr:sp macro="" textlink="">
          <xdr:nvSpPr>
            <xdr:cNvPr id="134" name="1_1">
              <a:extLst>
                <a:ext uri="{FF2B5EF4-FFF2-40B4-BE49-F238E27FC236}">
                  <a16:creationId xmlns:a16="http://schemas.microsoft.com/office/drawing/2014/main" id="{4A3BA4DA-F040-1A4C-8F27-93E101012089}"/>
                </a:ext>
              </a:extLst>
            </xdr:cNvPr>
            <xdr:cNvSpPr/>
          </xdr:nvSpPr>
          <xdr:spPr>
            <a:xfrm>
              <a:off x="5607734" y="1574061"/>
              <a:ext cx="1706034" cy="1467909"/>
            </a:xfrm>
            <a:custGeom>
              <a:avLst/>
              <a:gdLst>
                <a:gd name="connsiteX0" fmla="*/ 490492 w 1714500"/>
                <a:gd name="connsiteY0" fmla="*/ 1302479 h 1400175"/>
                <a:gd name="connsiteX1" fmla="*/ 490492 w 1714500"/>
                <a:gd name="connsiteY1" fmla="*/ 1302479 h 1400175"/>
                <a:gd name="connsiteX2" fmla="*/ 501888 w 1714500"/>
                <a:gd name="connsiteY2" fmla="*/ 1326734 h 1400175"/>
                <a:gd name="connsiteX3" fmla="*/ 516766 w 1714500"/>
                <a:gd name="connsiteY3" fmla="*/ 1397918 h 1400175"/>
                <a:gd name="connsiteX4" fmla="*/ 484952 w 1714500"/>
                <a:gd name="connsiteY4" fmla="*/ 1403339 h 1400175"/>
                <a:gd name="connsiteX5" fmla="*/ 417686 w 1714500"/>
                <a:gd name="connsiteY5" fmla="*/ 1372040 h 1400175"/>
                <a:gd name="connsiteX6" fmla="*/ 405182 w 1714500"/>
                <a:gd name="connsiteY6" fmla="*/ 1372040 h 1400175"/>
                <a:gd name="connsiteX7" fmla="*/ 405182 w 1714500"/>
                <a:gd name="connsiteY7" fmla="*/ 1359102 h 1400175"/>
                <a:gd name="connsiteX8" fmla="*/ 341398 w 1714500"/>
                <a:gd name="connsiteY8" fmla="*/ 1322421 h 1400175"/>
                <a:gd name="connsiteX9" fmla="*/ 343772 w 1714500"/>
                <a:gd name="connsiteY9" fmla="*/ 1297612 h 1400175"/>
                <a:gd name="connsiteX10" fmla="*/ 308477 w 1714500"/>
                <a:gd name="connsiteY10" fmla="*/ 1242572 h 1400175"/>
                <a:gd name="connsiteX11" fmla="*/ 274289 w 1714500"/>
                <a:gd name="connsiteY11" fmla="*/ 1203755 h 1400175"/>
                <a:gd name="connsiteX12" fmla="*/ 237886 w 1714500"/>
                <a:gd name="connsiteY12" fmla="*/ 1168144 h 1400175"/>
                <a:gd name="connsiteX13" fmla="*/ 187872 w 1714500"/>
                <a:gd name="connsiteY13" fmla="*/ 1122838 h 1400175"/>
                <a:gd name="connsiteX14" fmla="*/ 143397 w 1714500"/>
                <a:gd name="connsiteY14" fmla="*/ 1057035 h 1400175"/>
                <a:gd name="connsiteX15" fmla="*/ 110475 w 1714500"/>
                <a:gd name="connsiteY15" fmla="*/ 1031157 h 1400175"/>
                <a:gd name="connsiteX16" fmla="*/ 64892 w 1714500"/>
                <a:gd name="connsiteY16" fmla="*/ 1022531 h 1400175"/>
                <a:gd name="connsiteX17" fmla="*/ 29597 w 1714500"/>
                <a:gd name="connsiteY17" fmla="*/ 1027913 h 1400175"/>
                <a:gd name="connsiteX18" fmla="*/ 15986 w 1714500"/>
                <a:gd name="connsiteY18" fmla="*/ 963218 h 1400175"/>
                <a:gd name="connsiteX19" fmla="*/ 15986 w 1714500"/>
                <a:gd name="connsiteY19" fmla="*/ 946995 h 1400175"/>
                <a:gd name="connsiteX20" fmla="*/ 10288 w 1714500"/>
                <a:gd name="connsiteY20" fmla="*/ 924362 h 1400175"/>
                <a:gd name="connsiteX21" fmla="*/ 0 w 1714500"/>
                <a:gd name="connsiteY21" fmla="*/ 908178 h 1400175"/>
                <a:gd name="connsiteX22" fmla="*/ 8072 w 1714500"/>
                <a:gd name="connsiteY22" fmla="*/ 903865 h 1400175"/>
                <a:gd name="connsiteX23" fmla="*/ 8072 w 1714500"/>
                <a:gd name="connsiteY23" fmla="*/ 897376 h 1400175"/>
                <a:gd name="connsiteX24" fmla="*/ 76288 w 1714500"/>
                <a:gd name="connsiteY24" fmla="*/ 902797 h 1400175"/>
                <a:gd name="connsiteX25" fmla="*/ 75180 w 1714500"/>
                <a:gd name="connsiteY25" fmla="*/ 858559 h 1400175"/>
                <a:gd name="connsiteX26" fmla="*/ 84202 w 1714500"/>
                <a:gd name="connsiteY26" fmla="*/ 824016 h 1400175"/>
                <a:gd name="connsiteX27" fmla="*/ 95598 w 1714500"/>
                <a:gd name="connsiteY27" fmla="*/ 803519 h 1400175"/>
                <a:gd name="connsiteX28" fmla="*/ 103670 w 1714500"/>
                <a:gd name="connsiteY28" fmla="*/ 788443 h 1400175"/>
                <a:gd name="connsiteX29" fmla="*/ 103670 w 1714500"/>
                <a:gd name="connsiteY29" fmla="*/ 765810 h 1400175"/>
                <a:gd name="connsiteX30" fmla="*/ 113799 w 1714500"/>
                <a:gd name="connsiteY30" fmla="*/ 732335 h 1400175"/>
                <a:gd name="connsiteX31" fmla="*/ 130893 w 1714500"/>
                <a:gd name="connsiteY31" fmla="*/ 707526 h 1400175"/>
                <a:gd name="connsiteX32" fmla="*/ 154792 w 1714500"/>
                <a:gd name="connsiteY32" fmla="*/ 660083 h 1400175"/>
                <a:gd name="connsiteX33" fmla="*/ 234563 w 1714500"/>
                <a:gd name="connsiteY33" fmla="*/ 527410 h 1400175"/>
                <a:gd name="connsiteX34" fmla="*/ 345988 w 1714500"/>
                <a:gd name="connsiteY34" fmla="*/ 583518 h 1400175"/>
                <a:gd name="connsiteX35" fmla="*/ 356275 w 1714500"/>
                <a:gd name="connsiteY35" fmla="*/ 585655 h 1400175"/>
                <a:gd name="connsiteX36" fmla="*/ 381283 w 1714500"/>
                <a:gd name="connsiteY36" fmla="*/ 581342 h 1400175"/>
                <a:gd name="connsiteX37" fmla="*/ 427974 w 1714500"/>
                <a:gd name="connsiteY37" fmla="*/ 584547 h 1400175"/>
                <a:gd name="connsiteX38" fmla="*/ 484952 w 1714500"/>
                <a:gd name="connsiteY38" fmla="*/ 591036 h 1400175"/>
                <a:gd name="connsiteX39" fmla="*/ 536075 w 1714500"/>
                <a:gd name="connsiteY39" fmla="*/ 592104 h 1400175"/>
                <a:gd name="connsiteX40" fmla="*/ 607773 w 1714500"/>
                <a:gd name="connsiteY40" fmla="*/ 593212 h 1400175"/>
                <a:gd name="connsiteX41" fmla="*/ 672666 w 1714500"/>
                <a:gd name="connsiteY41" fmla="*/ 596457 h 1400175"/>
                <a:gd name="connsiteX42" fmla="*/ 712551 w 1714500"/>
                <a:gd name="connsiteY42" fmla="*/ 595349 h 1400175"/>
                <a:gd name="connsiteX43" fmla="*/ 746580 w 1714500"/>
                <a:gd name="connsiteY43" fmla="*/ 393668 h 1400175"/>
                <a:gd name="connsiteX44" fmla="*/ 779659 w 1714500"/>
                <a:gd name="connsiteY44" fmla="*/ 283667 h 1400175"/>
                <a:gd name="connsiteX45" fmla="*/ 800077 w 1714500"/>
                <a:gd name="connsiteY45" fmla="*/ 273933 h 1400175"/>
                <a:gd name="connsiteX46" fmla="*/ 816062 w 1714500"/>
                <a:gd name="connsiteY46" fmla="*/ 246987 h 1400175"/>
                <a:gd name="connsiteX47" fmla="*/ 836480 w 1714500"/>
                <a:gd name="connsiteY47" fmla="*/ 190879 h 1400175"/>
                <a:gd name="connsiteX48" fmla="*/ 847875 w 1714500"/>
                <a:gd name="connsiteY48" fmla="*/ 153130 h 1400175"/>
                <a:gd name="connsiteX49" fmla="*/ 860379 w 1714500"/>
                <a:gd name="connsiteY49" fmla="*/ 119695 h 1400175"/>
                <a:gd name="connsiteX50" fmla="*/ 854681 w 1714500"/>
                <a:gd name="connsiteY50" fmla="*/ 95954 h 1400175"/>
                <a:gd name="connsiteX51" fmla="*/ 891084 w 1714500"/>
                <a:gd name="connsiteY51" fmla="*/ 0 h 1400175"/>
                <a:gd name="connsiteX52" fmla="*/ 983358 w 1714500"/>
                <a:gd name="connsiteY52" fmla="*/ 23702 h 1400175"/>
                <a:gd name="connsiteX53" fmla="*/ 1009474 w 1714500"/>
                <a:gd name="connsiteY53" fmla="*/ 45306 h 1400175"/>
                <a:gd name="connsiteX54" fmla="*/ 1056164 w 1714500"/>
                <a:gd name="connsiteY54" fmla="*/ 59313 h 1400175"/>
                <a:gd name="connsiteX55" fmla="*/ 1099373 w 1714500"/>
                <a:gd name="connsiteY55" fmla="*/ 78702 h 1400175"/>
                <a:gd name="connsiteX56" fmla="*/ 1135776 w 1714500"/>
                <a:gd name="connsiteY56" fmla="*/ 103511 h 1400175"/>
                <a:gd name="connsiteX57" fmla="*/ 1180252 w 1714500"/>
                <a:gd name="connsiteY57" fmla="*/ 124047 h 1400175"/>
                <a:gd name="connsiteX58" fmla="*/ 1208741 w 1714500"/>
                <a:gd name="connsiteY58" fmla="*/ 138015 h 1400175"/>
                <a:gd name="connsiteX59" fmla="*/ 1229158 w 1714500"/>
                <a:gd name="connsiteY59" fmla="*/ 136986 h 1400175"/>
                <a:gd name="connsiteX60" fmla="*/ 1229158 w 1714500"/>
                <a:gd name="connsiteY60" fmla="*/ 179048 h 1400175"/>
                <a:gd name="connsiteX61" fmla="*/ 1241662 w 1714500"/>
                <a:gd name="connsiteY61" fmla="*/ 224314 h 1400175"/>
                <a:gd name="connsiteX62" fmla="*/ 1241662 w 1714500"/>
                <a:gd name="connsiteY62" fmla="*/ 242635 h 1400175"/>
                <a:gd name="connsiteX63" fmla="*/ 1237072 w 1714500"/>
                <a:gd name="connsiteY63" fmla="*/ 270689 h 1400175"/>
                <a:gd name="connsiteX64" fmla="*/ 1247360 w 1714500"/>
                <a:gd name="connsiteY64" fmla="*/ 272865 h 1400175"/>
                <a:gd name="connsiteX65" fmla="*/ 1249734 w 1714500"/>
                <a:gd name="connsiteY65" fmla="*/ 292254 h 1400175"/>
                <a:gd name="connsiteX66" fmla="*/ 1237072 w 1714500"/>
                <a:gd name="connsiteY66" fmla="*/ 301987 h 1400175"/>
                <a:gd name="connsiteX67" fmla="*/ 1237072 w 1714500"/>
                <a:gd name="connsiteY67" fmla="*/ 318131 h 1400175"/>
                <a:gd name="connsiteX68" fmla="*/ 1254166 w 1714500"/>
                <a:gd name="connsiteY68" fmla="*/ 373171 h 1400175"/>
                <a:gd name="connsiteX69" fmla="*/ 1271259 w 1714500"/>
                <a:gd name="connsiteY69" fmla="*/ 399049 h 1400175"/>
                <a:gd name="connsiteX70" fmla="*/ 1269043 w 1714500"/>
                <a:gd name="connsiteY70" fmla="*/ 441111 h 1400175"/>
                <a:gd name="connsiteX71" fmla="*/ 1273633 w 1714500"/>
                <a:gd name="connsiteY71" fmla="*/ 452981 h 1400175"/>
                <a:gd name="connsiteX72" fmla="*/ 1276957 w 1714500"/>
                <a:gd name="connsiteY72" fmla="*/ 472370 h 1400175"/>
                <a:gd name="connsiteX73" fmla="*/ 1278065 w 1714500"/>
                <a:gd name="connsiteY73" fmla="*/ 486417 h 1400175"/>
                <a:gd name="connsiteX74" fmla="*/ 1291835 w 1714500"/>
                <a:gd name="connsiteY74" fmla="*/ 500424 h 1400175"/>
                <a:gd name="connsiteX75" fmla="*/ 1291835 w 1714500"/>
                <a:gd name="connsiteY75" fmla="*/ 517715 h 1400175"/>
                <a:gd name="connsiteX76" fmla="*/ 1283763 w 1714500"/>
                <a:gd name="connsiteY76" fmla="*/ 537104 h 1400175"/>
                <a:gd name="connsiteX77" fmla="*/ 1276957 w 1714500"/>
                <a:gd name="connsiteY77" fmla="*/ 546838 h 1400175"/>
                <a:gd name="connsiteX78" fmla="*/ 1291835 w 1714500"/>
                <a:gd name="connsiteY78" fmla="*/ 552219 h 1400175"/>
                <a:gd name="connsiteX79" fmla="*/ 1291835 w 1714500"/>
                <a:gd name="connsiteY79" fmla="*/ 564090 h 1400175"/>
                <a:gd name="connsiteX80" fmla="*/ 1280439 w 1714500"/>
                <a:gd name="connsiteY80" fmla="*/ 572716 h 1400175"/>
                <a:gd name="connsiteX81" fmla="*/ 1274741 w 1714500"/>
                <a:gd name="connsiteY81" fmla="*/ 584547 h 1400175"/>
                <a:gd name="connsiteX82" fmla="*/ 1294051 w 1714500"/>
                <a:gd name="connsiteY82" fmla="*/ 616953 h 1400175"/>
                <a:gd name="connsiteX83" fmla="*/ 1286137 w 1714500"/>
                <a:gd name="connsiteY83" fmla="*/ 625540 h 1400175"/>
                <a:gd name="connsiteX84" fmla="*/ 1276957 w 1714500"/>
                <a:gd name="connsiteY84" fmla="*/ 627716 h 1400175"/>
                <a:gd name="connsiteX85" fmla="*/ 1282655 w 1714500"/>
                <a:gd name="connsiteY85" fmla="*/ 646076 h 1400175"/>
                <a:gd name="connsiteX86" fmla="*/ 1275849 w 1714500"/>
                <a:gd name="connsiteY86" fmla="*/ 657907 h 1400175"/>
                <a:gd name="connsiteX87" fmla="*/ 1314468 w 1714500"/>
                <a:gd name="connsiteY87" fmla="*/ 655770 h 1400175"/>
                <a:gd name="connsiteX88" fmla="*/ 1365749 w 1714500"/>
                <a:gd name="connsiteY88" fmla="*/ 649281 h 1400175"/>
                <a:gd name="connsiteX89" fmla="*/ 1501232 w 1714500"/>
                <a:gd name="connsiteY89" fmla="*/ 647144 h 1400175"/>
                <a:gd name="connsiteX90" fmla="*/ 1636556 w 1714500"/>
                <a:gd name="connsiteY90" fmla="*/ 643899 h 1400175"/>
                <a:gd name="connsiteX91" fmla="*/ 1669636 w 1714500"/>
                <a:gd name="connsiteY91" fmla="*/ 647144 h 1400175"/>
                <a:gd name="connsiteX92" fmla="*/ 1698125 w 1714500"/>
                <a:gd name="connsiteY92" fmla="*/ 655770 h 1400175"/>
                <a:gd name="connsiteX93" fmla="*/ 1711737 w 1714500"/>
                <a:gd name="connsiteY93" fmla="*/ 663328 h 1400175"/>
                <a:gd name="connsiteX94" fmla="*/ 1720758 w 1714500"/>
                <a:gd name="connsiteY94" fmla="*/ 689205 h 1400175"/>
                <a:gd name="connsiteX95" fmla="*/ 1680873 w 1714500"/>
                <a:gd name="connsiteY95" fmla="*/ 742663 h 1400175"/>
                <a:gd name="connsiteX96" fmla="*/ 1662039 w 1714500"/>
                <a:gd name="connsiteY96" fmla="*/ 750260 h 1400175"/>
                <a:gd name="connsiteX97" fmla="*/ 1646844 w 1714500"/>
                <a:gd name="connsiteY97" fmla="*/ 759835 h 1400175"/>
                <a:gd name="connsiteX98" fmla="*/ 1633707 w 1714500"/>
                <a:gd name="connsiteY98" fmla="*/ 770084 h 1400175"/>
                <a:gd name="connsiteX99" fmla="*/ 1631492 w 1714500"/>
                <a:gd name="connsiteY99" fmla="*/ 763634 h 1400175"/>
                <a:gd name="connsiteX100" fmla="*/ 1619463 w 1714500"/>
                <a:gd name="connsiteY100" fmla="*/ 762091 h 1400175"/>
                <a:gd name="connsiteX101" fmla="*/ 1556944 w 1714500"/>
                <a:gd name="connsiteY101" fmla="*/ 775505 h 1400175"/>
                <a:gd name="connsiteX102" fmla="*/ 1498858 w 1714500"/>
                <a:gd name="connsiteY102" fmla="*/ 812185 h 1400175"/>
                <a:gd name="connsiteX103" fmla="*/ 1442037 w 1714500"/>
                <a:gd name="connsiteY103" fmla="*/ 856422 h 1400175"/>
                <a:gd name="connsiteX104" fmla="*/ 1402152 w 1714500"/>
                <a:gd name="connsiteY104" fmla="*/ 917872 h 1400175"/>
                <a:gd name="connsiteX105" fmla="*/ 1371447 w 1714500"/>
                <a:gd name="connsiteY105" fmla="*/ 911423 h 1400175"/>
                <a:gd name="connsiteX106" fmla="*/ 1378253 w 1714500"/>
                <a:gd name="connsiteY106" fmla="*/ 826192 h 1400175"/>
                <a:gd name="connsiteX107" fmla="*/ 1320166 w 1714500"/>
                <a:gd name="connsiteY107" fmla="*/ 826192 h 1400175"/>
                <a:gd name="connsiteX108" fmla="*/ 1315734 w 1714500"/>
                <a:gd name="connsiteY108" fmla="*/ 800274 h 1400175"/>
                <a:gd name="connsiteX109" fmla="*/ 1265561 w 1714500"/>
                <a:gd name="connsiteY109" fmla="*/ 821879 h 1400175"/>
                <a:gd name="connsiteX110" fmla="*/ 1220137 w 1714500"/>
                <a:gd name="connsiteY110" fmla="*/ 835926 h 1400175"/>
                <a:gd name="connsiteX111" fmla="*/ 1177877 w 1714500"/>
                <a:gd name="connsiteY111" fmla="*/ 841307 h 1400175"/>
                <a:gd name="connsiteX112" fmla="*/ 1145589 w 1714500"/>
                <a:gd name="connsiteY112" fmla="*/ 841821 h 1400175"/>
                <a:gd name="connsiteX113" fmla="*/ 1142107 w 1714500"/>
                <a:gd name="connsiteY113" fmla="*/ 855552 h 1400175"/>
                <a:gd name="connsiteX114" fmla="*/ 1130237 w 1714500"/>
                <a:gd name="connsiteY114" fmla="*/ 856422 h 1400175"/>
                <a:gd name="connsiteX115" fmla="*/ 1114251 w 1714500"/>
                <a:gd name="connsiteY115" fmla="*/ 877987 h 1400175"/>
                <a:gd name="connsiteX116" fmla="*/ 1075474 w 1714500"/>
                <a:gd name="connsiteY116" fmla="*/ 874743 h 1400175"/>
                <a:gd name="connsiteX117" fmla="*/ 1075474 w 1714500"/>
                <a:gd name="connsiteY117" fmla="*/ 903865 h 1400175"/>
                <a:gd name="connsiteX118" fmla="*/ 1037963 w 1714500"/>
                <a:gd name="connsiteY118" fmla="*/ 953484 h 1400175"/>
                <a:gd name="connsiteX119" fmla="*/ 1028308 w 1714500"/>
                <a:gd name="connsiteY119" fmla="*/ 971804 h 1400175"/>
                <a:gd name="connsiteX120" fmla="*/ 1020869 w 1714500"/>
                <a:gd name="connsiteY120" fmla="*/ 1009592 h 1400175"/>
                <a:gd name="connsiteX121" fmla="*/ 1003776 w 1714500"/>
                <a:gd name="connsiteY121" fmla="*/ 1024668 h 1400175"/>
                <a:gd name="connsiteX122" fmla="*/ 987948 w 1714500"/>
                <a:gd name="connsiteY122" fmla="*/ 1028981 h 1400175"/>
                <a:gd name="connsiteX123" fmla="*/ 972279 w 1714500"/>
                <a:gd name="connsiteY123" fmla="*/ 1024628 h 1400175"/>
                <a:gd name="connsiteX124" fmla="*/ 948063 w 1714500"/>
                <a:gd name="connsiteY124" fmla="*/ 1023600 h 1400175"/>
                <a:gd name="connsiteX125" fmla="*/ 934452 w 1714500"/>
                <a:gd name="connsiteY125" fmla="*/ 1034362 h 1400175"/>
                <a:gd name="connsiteX126" fmla="*/ 934452 w 1714500"/>
                <a:gd name="connsiteY126" fmla="*/ 1045164 h 1400175"/>
                <a:gd name="connsiteX127" fmla="*/ 909919 w 1714500"/>
                <a:gd name="connsiteY127" fmla="*/ 1066769 h 1400175"/>
                <a:gd name="connsiteX128" fmla="*/ 895199 w 1714500"/>
                <a:gd name="connsiteY128" fmla="*/ 1069974 h 1400175"/>
                <a:gd name="connsiteX129" fmla="*/ 880322 w 1714500"/>
                <a:gd name="connsiteY129" fmla="*/ 1083981 h 1400175"/>
                <a:gd name="connsiteX130" fmla="*/ 847875 w 1714500"/>
                <a:gd name="connsiteY130" fmla="*/ 1086157 h 1400175"/>
                <a:gd name="connsiteX131" fmla="*/ 842178 w 1714500"/>
                <a:gd name="connsiteY131" fmla="*/ 1090510 h 1400175"/>
                <a:gd name="connsiteX132" fmla="*/ 823976 w 1714500"/>
                <a:gd name="connsiteY132" fmla="*/ 1090510 h 1400175"/>
                <a:gd name="connsiteX133" fmla="*/ 762566 w 1714500"/>
                <a:gd name="connsiteY133" fmla="*/ 1120701 h 1400175"/>
                <a:gd name="connsiteX134" fmla="*/ 745789 w 1714500"/>
                <a:gd name="connsiteY134" fmla="*/ 1118406 h 1400175"/>
                <a:gd name="connsiteX135" fmla="*/ 736450 w 1714500"/>
                <a:gd name="connsiteY135" fmla="*/ 1136884 h 1400175"/>
                <a:gd name="connsiteX136" fmla="*/ 697673 w 1714500"/>
                <a:gd name="connsiteY136" fmla="*/ 1160626 h 1400175"/>
                <a:gd name="connsiteX137" fmla="*/ 674882 w 1714500"/>
                <a:gd name="connsiteY137" fmla="*/ 1162762 h 1400175"/>
                <a:gd name="connsiteX138" fmla="*/ 674407 w 1714500"/>
                <a:gd name="connsiteY138" fmla="*/ 1179500 h 1400175"/>
                <a:gd name="connsiteX139" fmla="*/ 661587 w 1714500"/>
                <a:gd name="connsiteY139" fmla="*/ 1201302 h 1400175"/>
                <a:gd name="connsiteX140" fmla="*/ 663486 w 1714500"/>
                <a:gd name="connsiteY140" fmla="*/ 1221007 h 1400175"/>
                <a:gd name="connsiteX141" fmla="*/ 667443 w 1714500"/>
                <a:gd name="connsiteY141" fmla="*/ 1249180 h 1400175"/>
                <a:gd name="connsiteX142" fmla="*/ 644968 w 1714500"/>
                <a:gd name="connsiteY142" fmla="*/ 1283961 h 1400175"/>
                <a:gd name="connsiteX143" fmla="*/ 604450 w 1714500"/>
                <a:gd name="connsiteY143" fmla="*/ 1288986 h 1400175"/>
                <a:gd name="connsiteX144" fmla="*/ 573586 w 1714500"/>
                <a:gd name="connsiteY144" fmla="*/ 1291716 h 1400175"/>
                <a:gd name="connsiteX145" fmla="*/ 555385 w 1714500"/>
                <a:gd name="connsiteY145" fmla="*/ 1294367 h 1400175"/>
                <a:gd name="connsiteX146" fmla="*/ 529586 w 1714500"/>
                <a:gd name="connsiteY146" fmla="*/ 1299472 h 1400175"/>
                <a:gd name="connsiteX147" fmla="*/ 503629 w 1714500"/>
                <a:gd name="connsiteY147" fmla="*/ 1301331 h 1400175"/>
                <a:gd name="connsiteX148" fmla="*/ 490492 w 1714500"/>
                <a:gd name="connsiteY148" fmla="*/ 1302479 h 14001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Lst>
              <a:rect l="l" t="t" r="r" b="b"/>
              <a:pathLst>
                <a:path w="1714500" h="1400175">
                  <a:moveTo>
                    <a:pt x="490492" y="1302479"/>
                  </a:moveTo>
                  <a:lnTo>
                    <a:pt x="490492" y="1302479"/>
                  </a:lnTo>
                  <a:lnTo>
                    <a:pt x="501888" y="1326734"/>
                  </a:lnTo>
                  <a:lnTo>
                    <a:pt x="516766" y="1397918"/>
                  </a:lnTo>
                  <a:lnTo>
                    <a:pt x="484952" y="1403339"/>
                  </a:lnTo>
                  <a:lnTo>
                    <a:pt x="417686" y="1372040"/>
                  </a:lnTo>
                  <a:lnTo>
                    <a:pt x="405182" y="1372040"/>
                  </a:lnTo>
                  <a:lnTo>
                    <a:pt x="405182" y="1359102"/>
                  </a:lnTo>
                  <a:lnTo>
                    <a:pt x="341398" y="1322421"/>
                  </a:lnTo>
                  <a:lnTo>
                    <a:pt x="343772" y="1297612"/>
                  </a:lnTo>
                  <a:lnTo>
                    <a:pt x="308477" y="1242572"/>
                  </a:lnTo>
                  <a:lnTo>
                    <a:pt x="274289" y="1203755"/>
                  </a:lnTo>
                  <a:lnTo>
                    <a:pt x="237886" y="1168144"/>
                  </a:lnTo>
                  <a:lnTo>
                    <a:pt x="187872" y="1122838"/>
                  </a:lnTo>
                  <a:lnTo>
                    <a:pt x="143397" y="1057035"/>
                  </a:lnTo>
                  <a:lnTo>
                    <a:pt x="110475" y="1031157"/>
                  </a:lnTo>
                  <a:lnTo>
                    <a:pt x="64892" y="1022531"/>
                  </a:lnTo>
                  <a:lnTo>
                    <a:pt x="29597" y="1027913"/>
                  </a:lnTo>
                  <a:lnTo>
                    <a:pt x="15986" y="963218"/>
                  </a:lnTo>
                  <a:lnTo>
                    <a:pt x="15986" y="946995"/>
                  </a:lnTo>
                  <a:lnTo>
                    <a:pt x="10288" y="924362"/>
                  </a:lnTo>
                  <a:lnTo>
                    <a:pt x="0" y="908178"/>
                  </a:lnTo>
                  <a:lnTo>
                    <a:pt x="8072" y="903865"/>
                  </a:lnTo>
                  <a:lnTo>
                    <a:pt x="8072" y="897376"/>
                  </a:lnTo>
                  <a:lnTo>
                    <a:pt x="76288" y="902797"/>
                  </a:lnTo>
                  <a:lnTo>
                    <a:pt x="75180" y="858559"/>
                  </a:lnTo>
                  <a:lnTo>
                    <a:pt x="84202" y="824016"/>
                  </a:lnTo>
                  <a:lnTo>
                    <a:pt x="95598" y="803519"/>
                  </a:lnTo>
                  <a:lnTo>
                    <a:pt x="103670" y="788443"/>
                  </a:lnTo>
                  <a:lnTo>
                    <a:pt x="103670" y="765810"/>
                  </a:lnTo>
                  <a:lnTo>
                    <a:pt x="113799" y="732335"/>
                  </a:lnTo>
                  <a:lnTo>
                    <a:pt x="130893" y="707526"/>
                  </a:lnTo>
                  <a:lnTo>
                    <a:pt x="154792" y="660083"/>
                  </a:lnTo>
                  <a:lnTo>
                    <a:pt x="234563" y="527410"/>
                  </a:lnTo>
                  <a:lnTo>
                    <a:pt x="345988" y="583518"/>
                  </a:lnTo>
                  <a:lnTo>
                    <a:pt x="356275" y="585655"/>
                  </a:lnTo>
                  <a:lnTo>
                    <a:pt x="381283" y="581342"/>
                  </a:lnTo>
                  <a:lnTo>
                    <a:pt x="427974" y="584547"/>
                  </a:lnTo>
                  <a:lnTo>
                    <a:pt x="484952" y="591036"/>
                  </a:lnTo>
                  <a:lnTo>
                    <a:pt x="536075" y="592104"/>
                  </a:lnTo>
                  <a:lnTo>
                    <a:pt x="607773" y="593212"/>
                  </a:lnTo>
                  <a:lnTo>
                    <a:pt x="672666" y="596457"/>
                  </a:lnTo>
                  <a:lnTo>
                    <a:pt x="712551" y="595349"/>
                  </a:lnTo>
                  <a:lnTo>
                    <a:pt x="746580" y="393668"/>
                  </a:lnTo>
                  <a:lnTo>
                    <a:pt x="779659" y="283667"/>
                  </a:lnTo>
                  <a:lnTo>
                    <a:pt x="800077" y="273933"/>
                  </a:lnTo>
                  <a:lnTo>
                    <a:pt x="816062" y="246987"/>
                  </a:lnTo>
                  <a:lnTo>
                    <a:pt x="836480" y="190879"/>
                  </a:lnTo>
                  <a:lnTo>
                    <a:pt x="847875" y="153130"/>
                  </a:lnTo>
                  <a:lnTo>
                    <a:pt x="860379" y="119695"/>
                  </a:lnTo>
                  <a:lnTo>
                    <a:pt x="854681" y="95954"/>
                  </a:lnTo>
                  <a:lnTo>
                    <a:pt x="891084" y="0"/>
                  </a:lnTo>
                  <a:lnTo>
                    <a:pt x="983358" y="23702"/>
                  </a:lnTo>
                  <a:lnTo>
                    <a:pt x="1009474" y="45306"/>
                  </a:lnTo>
                  <a:lnTo>
                    <a:pt x="1056164" y="59313"/>
                  </a:lnTo>
                  <a:lnTo>
                    <a:pt x="1099373" y="78702"/>
                  </a:lnTo>
                  <a:lnTo>
                    <a:pt x="1135776" y="103511"/>
                  </a:lnTo>
                  <a:lnTo>
                    <a:pt x="1180252" y="124047"/>
                  </a:lnTo>
                  <a:lnTo>
                    <a:pt x="1208741" y="138015"/>
                  </a:lnTo>
                  <a:lnTo>
                    <a:pt x="1229158" y="136986"/>
                  </a:lnTo>
                  <a:lnTo>
                    <a:pt x="1229158" y="179048"/>
                  </a:lnTo>
                  <a:lnTo>
                    <a:pt x="1241662" y="224314"/>
                  </a:lnTo>
                  <a:lnTo>
                    <a:pt x="1241662" y="242635"/>
                  </a:lnTo>
                  <a:lnTo>
                    <a:pt x="1237072" y="270689"/>
                  </a:lnTo>
                  <a:lnTo>
                    <a:pt x="1247360" y="272865"/>
                  </a:lnTo>
                  <a:lnTo>
                    <a:pt x="1249734" y="292254"/>
                  </a:lnTo>
                  <a:lnTo>
                    <a:pt x="1237072" y="301987"/>
                  </a:lnTo>
                  <a:lnTo>
                    <a:pt x="1237072" y="318131"/>
                  </a:lnTo>
                  <a:lnTo>
                    <a:pt x="1254166" y="373171"/>
                  </a:lnTo>
                  <a:lnTo>
                    <a:pt x="1271259" y="399049"/>
                  </a:lnTo>
                  <a:lnTo>
                    <a:pt x="1269043" y="441111"/>
                  </a:lnTo>
                  <a:lnTo>
                    <a:pt x="1273633" y="452981"/>
                  </a:lnTo>
                  <a:lnTo>
                    <a:pt x="1276957" y="472370"/>
                  </a:lnTo>
                  <a:lnTo>
                    <a:pt x="1278065" y="486417"/>
                  </a:lnTo>
                  <a:lnTo>
                    <a:pt x="1291835" y="500424"/>
                  </a:lnTo>
                  <a:lnTo>
                    <a:pt x="1291835" y="517715"/>
                  </a:lnTo>
                  <a:lnTo>
                    <a:pt x="1283763" y="537104"/>
                  </a:lnTo>
                  <a:lnTo>
                    <a:pt x="1276957" y="546838"/>
                  </a:lnTo>
                  <a:lnTo>
                    <a:pt x="1291835" y="552219"/>
                  </a:lnTo>
                  <a:lnTo>
                    <a:pt x="1291835" y="564090"/>
                  </a:lnTo>
                  <a:lnTo>
                    <a:pt x="1280439" y="572716"/>
                  </a:lnTo>
                  <a:lnTo>
                    <a:pt x="1274741" y="584547"/>
                  </a:lnTo>
                  <a:lnTo>
                    <a:pt x="1294051" y="616953"/>
                  </a:lnTo>
                  <a:lnTo>
                    <a:pt x="1286137" y="625540"/>
                  </a:lnTo>
                  <a:lnTo>
                    <a:pt x="1276957" y="627716"/>
                  </a:lnTo>
                  <a:lnTo>
                    <a:pt x="1282655" y="646076"/>
                  </a:lnTo>
                  <a:lnTo>
                    <a:pt x="1275849" y="657907"/>
                  </a:lnTo>
                  <a:lnTo>
                    <a:pt x="1314468" y="655770"/>
                  </a:lnTo>
                  <a:lnTo>
                    <a:pt x="1365749" y="649281"/>
                  </a:lnTo>
                  <a:lnTo>
                    <a:pt x="1501232" y="647144"/>
                  </a:lnTo>
                  <a:lnTo>
                    <a:pt x="1636556" y="643899"/>
                  </a:lnTo>
                  <a:lnTo>
                    <a:pt x="1669636" y="647144"/>
                  </a:lnTo>
                  <a:lnTo>
                    <a:pt x="1698125" y="655770"/>
                  </a:lnTo>
                  <a:lnTo>
                    <a:pt x="1711737" y="663328"/>
                  </a:lnTo>
                  <a:lnTo>
                    <a:pt x="1720758" y="689205"/>
                  </a:lnTo>
                  <a:lnTo>
                    <a:pt x="1680873" y="742663"/>
                  </a:lnTo>
                  <a:lnTo>
                    <a:pt x="1662039" y="750260"/>
                  </a:lnTo>
                  <a:lnTo>
                    <a:pt x="1646844" y="759835"/>
                  </a:lnTo>
                  <a:lnTo>
                    <a:pt x="1633707" y="770084"/>
                  </a:lnTo>
                  <a:lnTo>
                    <a:pt x="1631492" y="763634"/>
                  </a:lnTo>
                  <a:lnTo>
                    <a:pt x="1619463" y="762091"/>
                  </a:lnTo>
                  <a:lnTo>
                    <a:pt x="1556944" y="775505"/>
                  </a:lnTo>
                  <a:lnTo>
                    <a:pt x="1498858" y="812185"/>
                  </a:lnTo>
                  <a:lnTo>
                    <a:pt x="1442037" y="856422"/>
                  </a:lnTo>
                  <a:lnTo>
                    <a:pt x="1402152" y="917872"/>
                  </a:lnTo>
                  <a:lnTo>
                    <a:pt x="1371447" y="911423"/>
                  </a:lnTo>
                  <a:lnTo>
                    <a:pt x="1378253" y="826192"/>
                  </a:lnTo>
                  <a:lnTo>
                    <a:pt x="1320166" y="826192"/>
                  </a:lnTo>
                  <a:lnTo>
                    <a:pt x="1315734" y="800274"/>
                  </a:lnTo>
                  <a:lnTo>
                    <a:pt x="1265561" y="821879"/>
                  </a:lnTo>
                  <a:lnTo>
                    <a:pt x="1220137" y="835926"/>
                  </a:lnTo>
                  <a:lnTo>
                    <a:pt x="1177877" y="841307"/>
                  </a:lnTo>
                  <a:lnTo>
                    <a:pt x="1145589" y="841821"/>
                  </a:lnTo>
                  <a:lnTo>
                    <a:pt x="1142107" y="855552"/>
                  </a:lnTo>
                  <a:lnTo>
                    <a:pt x="1130237" y="856422"/>
                  </a:lnTo>
                  <a:lnTo>
                    <a:pt x="1114251" y="877987"/>
                  </a:lnTo>
                  <a:lnTo>
                    <a:pt x="1075474" y="874743"/>
                  </a:lnTo>
                  <a:lnTo>
                    <a:pt x="1075474" y="903865"/>
                  </a:lnTo>
                  <a:lnTo>
                    <a:pt x="1037963" y="953484"/>
                  </a:lnTo>
                  <a:lnTo>
                    <a:pt x="1028308" y="971804"/>
                  </a:lnTo>
                  <a:lnTo>
                    <a:pt x="1020869" y="1009592"/>
                  </a:lnTo>
                  <a:lnTo>
                    <a:pt x="1003776" y="1024668"/>
                  </a:lnTo>
                  <a:lnTo>
                    <a:pt x="987948" y="1028981"/>
                  </a:lnTo>
                  <a:lnTo>
                    <a:pt x="972279" y="1024628"/>
                  </a:lnTo>
                  <a:lnTo>
                    <a:pt x="948063" y="1023600"/>
                  </a:lnTo>
                  <a:lnTo>
                    <a:pt x="934452" y="1034362"/>
                  </a:lnTo>
                  <a:lnTo>
                    <a:pt x="934452" y="1045164"/>
                  </a:lnTo>
                  <a:lnTo>
                    <a:pt x="909919" y="1066769"/>
                  </a:lnTo>
                  <a:lnTo>
                    <a:pt x="895199" y="1069974"/>
                  </a:lnTo>
                  <a:lnTo>
                    <a:pt x="880322" y="1083981"/>
                  </a:lnTo>
                  <a:lnTo>
                    <a:pt x="847875" y="1086157"/>
                  </a:lnTo>
                  <a:lnTo>
                    <a:pt x="842178" y="1090510"/>
                  </a:lnTo>
                  <a:lnTo>
                    <a:pt x="823976" y="1090510"/>
                  </a:lnTo>
                  <a:lnTo>
                    <a:pt x="762566" y="1120701"/>
                  </a:lnTo>
                  <a:lnTo>
                    <a:pt x="745789" y="1118406"/>
                  </a:lnTo>
                  <a:lnTo>
                    <a:pt x="736450" y="1136884"/>
                  </a:lnTo>
                  <a:lnTo>
                    <a:pt x="697673" y="1160626"/>
                  </a:lnTo>
                  <a:lnTo>
                    <a:pt x="674882" y="1162762"/>
                  </a:lnTo>
                  <a:lnTo>
                    <a:pt x="674407" y="1179500"/>
                  </a:lnTo>
                  <a:lnTo>
                    <a:pt x="661587" y="1201302"/>
                  </a:lnTo>
                  <a:lnTo>
                    <a:pt x="663486" y="1221007"/>
                  </a:lnTo>
                  <a:lnTo>
                    <a:pt x="667443" y="1249180"/>
                  </a:lnTo>
                  <a:lnTo>
                    <a:pt x="644968" y="1283961"/>
                  </a:lnTo>
                  <a:lnTo>
                    <a:pt x="604450" y="1288986"/>
                  </a:lnTo>
                  <a:lnTo>
                    <a:pt x="573586" y="1291716"/>
                  </a:lnTo>
                  <a:lnTo>
                    <a:pt x="555385" y="1294367"/>
                  </a:lnTo>
                  <a:lnTo>
                    <a:pt x="529586" y="1299472"/>
                  </a:lnTo>
                  <a:lnTo>
                    <a:pt x="503629" y="1301331"/>
                  </a:lnTo>
                  <a:lnTo>
                    <a:pt x="490492" y="1302479"/>
                  </a:lnTo>
                </a:path>
              </a:pathLst>
            </a:custGeom>
            <a:solidFill>
              <a:srgbClr val="FFFFFF"/>
            </a:solidFill>
            <a:ln w="5132" cap="flat">
              <a:solidFill>
                <a:srgbClr val="030000"/>
              </a:solidFill>
              <a:prstDash val="solid"/>
              <a:miter/>
            </a:ln>
          </xdr:spPr>
          <xdr:txBody>
            <a:bodyPr rtlCol="0" anchor="ctr"/>
            <a:lstStyle/>
            <a:p>
              <a:endParaRPr lang="en-US"/>
            </a:p>
          </xdr:txBody>
        </xdr:sp>
      </xdr:grpSp>
      <xdr:grpSp>
        <xdr:nvGrpSpPr>
          <xdr:cNvPr id="52" name="Group 51">
            <a:extLst>
              <a:ext uri="{FF2B5EF4-FFF2-40B4-BE49-F238E27FC236}">
                <a16:creationId xmlns:a16="http://schemas.microsoft.com/office/drawing/2014/main" id="{F521CB03-30A6-DE48-BBB5-A03795182252}"/>
              </a:ext>
            </a:extLst>
          </xdr:cNvPr>
          <xdr:cNvGrpSpPr/>
        </xdr:nvGrpSpPr>
        <xdr:grpSpPr>
          <a:xfrm>
            <a:off x="3257280" y="2145784"/>
            <a:ext cx="4836855" cy="4712216"/>
            <a:chOff x="3257280" y="2145784"/>
            <a:chExt cx="4836855" cy="4712216"/>
          </a:xfrm>
        </xdr:grpSpPr>
        <xdr:sp macro="" textlink="">
          <xdr:nvSpPr>
            <xdr:cNvPr id="53" name="lbl_41_1">
              <a:extLst>
                <a:ext uri="{FF2B5EF4-FFF2-40B4-BE49-F238E27FC236}">
                  <a16:creationId xmlns:a16="http://schemas.microsoft.com/office/drawing/2014/main" id="{5855B86A-0CF9-2947-95E1-68055B458CBA}"/>
                </a:ext>
              </a:extLst>
            </xdr:cNvPr>
            <xdr:cNvSpPr/>
          </xdr:nvSpPr>
          <xdr:spPr>
            <a:xfrm>
              <a:off x="6034347" y="6347675"/>
              <a:ext cx="603522" cy="4958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rgbClr val="595959"/>
                  </a:solidFill>
                </a:rPr>
                <a:t>P</a:t>
              </a:r>
              <a:r>
                <a:rPr lang="en-US" sz="1400" baseline="0">
                  <a:solidFill>
                    <a:srgbClr val="595959"/>
                  </a:solidFill>
                </a:rPr>
                <a:t> 41</a:t>
              </a:r>
              <a:endParaRPr lang="en-US" sz="1400">
                <a:solidFill>
                  <a:srgbClr val="595959"/>
                </a:solidFill>
              </a:endParaRPr>
            </a:p>
          </xdr:txBody>
        </xdr:sp>
        <xdr:sp macro="" textlink="">
          <xdr:nvSpPr>
            <xdr:cNvPr id="54" name="lbl_40_1">
              <a:extLst>
                <a:ext uri="{FF2B5EF4-FFF2-40B4-BE49-F238E27FC236}">
                  <a16:creationId xmlns:a16="http://schemas.microsoft.com/office/drawing/2014/main" id="{3BC4C14E-C515-B64A-8922-A6188DE590F1}"/>
                </a:ext>
              </a:extLst>
            </xdr:cNvPr>
            <xdr:cNvSpPr/>
          </xdr:nvSpPr>
          <xdr:spPr>
            <a:xfrm>
              <a:off x="5170746" y="6074318"/>
              <a:ext cx="603522" cy="4958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rgbClr val="595959"/>
                  </a:solidFill>
                </a:rPr>
                <a:t>P</a:t>
              </a:r>
              <a:r>
                <a:rPr lang="en-US" sz="1400" baseline="0">
                  <a:solidFill>
                    <a:srgbClr val="595959"/>
                  </a:solidFill>
                </a:rPr>
                <a:t> 40</a:t>
              </a:r>
              <a:endParaRPr lang="en-US" sz="1400">
                <a:solidFill>
                  <a:srgbClr val="595959"/>
                </a:solidFill>
              </a:endParaRPr>
            </a:p>
          </xdr:txBody>
        </xdr:sp>
        <xdr:sp macro="" textlink="">
          <xdr:nvSpPr>
            <xdr:cNvPr id="55" name="lbl_39_1">
              <a:extLst>
                <a:ext uri="{FF2B5EF4-FFF2-40B4-BE49-F238E27FC236}">
                  <a16:creationId xmlns:a16="http://schemas.microsoft.com/office/drawing/2014/main" id="{7EB585EC-F5A7-5B44-8345-725B7ECDFFFA}"/>
                </a:ext>
              </a:extLst>
            </xdr:cNvPr>
            <xdr:cNvSpPr/>
          </xdr:nvSpPr>
          <xdr:spPr>
            <a:xfrm>
              <a:off x="5103014" y="5718716"/>
              <a:ext cx="603522" cy="4958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rgbClr val="595959"/>
                  </a:solidFill>
                </a:rPr>
                <a:t>P</a:t>
              </a:r>
              <a:r>
                <a:rPr lang="en-US" sz="1400" baseline="0">
                  <a:solidFill>
                    <a:srgbClr val="595959"/>
                  </a:solidFill>
                </a:rPr>
                <a:t> 39</a:t>
              </a:r>
              <a:endParaRPr lang="en-US" sz="1400">
                <a:solidFill>
                  <a:srgbClr val="595959"/>
                </a:solidFill>
              </a:endParaRPr>
            </a:p>
          </xdr:txBody>
        </xdr:sp>
        <xdr:sp macro="" textlink="">
          <xdr:nvSpPr>
            <xdr:cNvPr id="56" name="lbl_38_1">
              <a:extLst>
                <a:ext uri="{FF2B5EF4-FFF2-40B4-BE49-F238E27FC236}">
                  <a16:creationId xmlns:a16="http://schemas.microsoft.com/office/drawing/2014/main" id="{757B083F-F456-AB49-8261-E56EFD64A988}"/>
                </a:ext>
              </a:extLst>
            </xdr:cNvPr>
            <xdr:cNvSpPr/>
          </xdr:nvSpPr>
          <xdr:spPr>
            <a:xfrm>
              <a:off x="5407814" y="6362184"/>
              <a:ext cx="603522" cy="4958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rgbClr val="595959"/>
                  </a:solidFill>
                </a:rPr>
                <a:t>P</a:t>
              </a:r>
              <a:r>
                <a:rPr lang="en-US" sz="1400" baseline="0">
                  <a:solidFill>
                    <a:srgbClr val="595959"/>
                  </a:solidFill>
                </a:rPr>
                <a:t> 38</a:t>
              </a:r>
              <a:endParaRPr lang="en-US" sz="1400">
                <a:solidFill>
                  <a:srgbClr val="595959"/>
                </a:solidFill>
              </a:endParaRPr>
            </a:p>
          </xdr:txBody>
        </xdr:sp>
        <xdr:sp macro="" textlink="">
          <xdr:nvSpPr>
            <xdr:cNvPr id="57" name="lbl_37_1">
              <a:extLst>
                <a:ext uri="{FF2B5EF4-FFF2-40B4-BE49-F238E27FC236}">
                  <a16:creationId xmlns:a16="http://schemas.microsoft.com/office/drawing/2014/main" id="{163DB290-7CAE-4C4E-AC04-10162689199C}"/>
                </a:ext>
              </a:extLst>
            </xdr:cNvPr>
            <xdr:cNvSpPr/>
          </xdr:nvSpPr>
          <xdr:spPr>
            <a:xfrm>
              <a:off x="5627946" y="5667916"/>
              <a:ext cx="603522" cy="483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rgbClr val="595959"/>
                  </a:solidFill>
                </a:rPr>
                <a:t>P</a:t>
              </a:r>
              <a:r>
                <a:rPr lang="en-US" sz="1400" baseline="0">
                  <a:solidFill>
                    <a:srgbClr val="595959"/>
                  </a:solidFill>
                </a:rPr>
                <a:t> 37</a:t>
              </a:r>
              <a:endParaRPr lang="en-US" sz="1400">
                <a:solidFill>
                  <a:srgbClr val="595959"/>
                </a:solidFill>
              </a:endParaRPr>
            </a:p>
          </xdr:txBody>
        </xdr:sp>
        <xdr:sp macro="" textlink="">
          <xdr:nvSpPr>
            <xdr:cNvPr id="58" name="lbl_36_1">
              <a:extLst>
                <a:ext uri="{FF2B5EF4-FFF2-40B4-BE49-F238E27FC236}">
                  <a16:creationId xmlns:a16="http://schemas.microsoft.com/office/drawing/2014/main" id="{E6FD41E8-9615-2442-854F-10F0572AE400}"/>
                </a:ext>
              </a:extLst>
            </xdr:cNvPr>
            <xdr:cNvSpPr/>
          </xdr:nvSpPr>
          <xdr:spPr>
            <a:xfrm>
              <a:off x="5509412" y="5346183"/>
              <a:ext cx="603522" cy="4958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rgbClr val="595959"/>
                  </a:solidFill>
                </a:rPr>
                <a:t>P</a:t>
              </a:r>
              <a:r>
                <a:rPr lang="en-US" sz="1400" baseline="0">
                  <a:solidFill>
                    <a:srgbClr val="595959"/>
                  </a:solidFill>
                </a:rPr>
                <a:t> 36</a:t>
              </a:r>
              <a:endParaRPr lang="en-US" sz="1400">
                <a:solidFill>
                  <a:srgbClr val="595959"/>
                </a:solidFill>
              </a:endParaRPr>
            </a:p>
          </xdr:txBody>
        </xdr:sp>
        <xdr:sp macro="" textlink="">
          <xdr:nvSpPr>
            <xdr:cNvPr id="59" name="lbl_35_1">
              <a:extLst>
                <a:ext uri="{FF2B5EF4-FFF2-40B4-BE49-F238E27FC236}">
                  <a16:creationId xmlns:a16="http://schemas.microsoft.com/office/drawing/2014/main" id="{E594DB08-4C32-F743-A5FE-3240094A9898}"/>
                </a:ext>
              </a:extLst>
            </xdr:cNvPr>
            <xdr:cNvSpPr/>
          </xdr:nvSpPr>
          <xdr:spPr>
            <a:xfrm>
              <a:off x="4798211" y="4888985"/>
              <a:ext cx="1134534" cy="93133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rgbClr val="595959"/>
                  </a:solidFill>
                </a:rPr>
                <a:t>P</a:t>
              </a:r>
              <a:r>
                <a:rPr lang="en-US" sz="1400" baseline="0">
                  <a:solidFill>
                    <a:srgbClr val="595959"/>
                  </a:solidFill>
                </a:rPr>
                <a:t> 35</a:t>
              </a:r>
              <a:endParaRPr lang="en-US" sz="1400">
                <a:solidFill>
                  <a:srgbClr val="595959"/>
                </a:solidFill>
              </a:endParaRPr>
            </a:p>
          </xdr:txBody>
        </xdr:sp>
        <xdr:sp macro="" textlink="">
          <xdr:nvSpPr>
            <xdr:cNvPr id="60" name="lbl_34_1">
              <a:extLst>
                <a:ext uri="{FF2B5EF4-FFF2-40B4-BE49-F238E27FC236}">
                  <a16:creationId xmlns:a16="http://schemas.microsoft.com/office/drawing/2014/main" id="{2E6114D9-ED18-EC42-9503-B46F2C577105}"/>
                </a:ext>
              </a:extLst>
            </xdr:cNvPr>
            <xdr:cNvSpPr/>
          </xdr:nvSpPr>
          <xdr:spPr>
            <a:xfrm>
              <a:off x="4611946" y="5329250"/>
              <a:ext cx="603522" cy="4958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rgbClr val="595959"/>
                  </a:solidFill>
                </a:rPr>
                <a:t>P</a:t>
              </a:r>
              <a:r>
                <a:rPr lang="en-US" sz="1400" baseline="0">
                  <a:solidFill>
                    <a:srgbClr val="595959"/>
                  </a:solidFill>
                </a:rPr>
                <a:t> 34</a:t>
              </a:r>
              <a:endParaRPr lang="en-US" sz="1400">
                <a:solidFill>
                  <a:srgbClr val="595959"/>
                </a:solidFill>
              </a:endParaRPr>
            </a:p>
          </xdr:txBody>
        </xdr:sp>
        <xdr:sp macro="" textlink="">
          <xdr:nvSpPr>
            <xdr:cNvPr id="61" name="lbl_33_1">
              <a:extLst>
                <a:ext uri="{FF2B5EF4-FFF2-40B4-BE49-F238E27FC236}">
                  <a16:creationId xmlns:a16="http://schemas.microsoft.com/office/drawing/2014/main" id="{44C9E352-EED9-3941-A0F4-4CB0EE213262}"/>
                </a:ext>
              </a:extLst>
            </xdr:cNvPr>
            <xdr:cNvSpPr/>
          </xdr:nvSpPr>
          <xdr:spPr>
            <a:xfrm>
              <a:off x="3968479" y="5701783"/>
              <a:ext cx="603522" cy="4958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rgbClr val="595959"/>
                  </a:solidFill>
                </a:rPr>
                <a:t>P</a:t>
              </a:r>
              <a:r>
                <a:rPr lang="en-US" sz="1400" baseline="0">
                  <a:solidFill>
                    <a:srgbClr val="595959"/>
                  </a:solidFill>
                </a:rPr>
                <a:t> 33</a:t>
              </a:r>
              <a:endParaRPr lang="en-US" sz="1400">
                <a:solidFill>
                  <a:srgbClr val="595959"/>
                </a:solidFill>
              </a:endParaRPr>
            </a:p>
          </xdr:txBody>
        </xdr:sp>
        <xdr:sp macro="" textlink="">
          <xdr:nvSpPr>
            <xdr:cNvPr id="62" name="lbl_32_1">
              <a:extLst>
                <a:ext uri="{FF2B5EF4-FFF2-40B4-BE49-F238E27FC236}">
                  <a16:creationId xmlns:a16="http://schemas.microsoft.com/office/drawing/2014/main" id="{405A158B-5593-C646-9ABA-706353346F8D}"/>
                </a:ext>
              </a:extLst>
            </xdr:cNvPr>
            <xdr:cNvSpPr/>
          </xdr:nvSpPr>
          <xdr:spPr>
            <a:xfrm>
              <a:off x="3511279" y="5058317"/>
              <a:ext cx="603522" cy="4958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rgbClr val="595959"/>
                  </a:solidFill>
                </a:rPr>
                <a:t>P</a:t>
              </a:r>
              <a:r>
                <a:rPr lang="en-US" sz="1400" baseline="0">
                  <a:solidFill>
                    <a:srgbClr val="595959"/>
                  </a:solidFill>
                </a:rPr>
                <a:t> 32</a:t>
              </a:r>
              <a:endParaRPr lang="en-US" sz="1400">
                <a:solidFill>
                  <a:srgbClr val="595959"/>
                </a:solidFill>
              </a:endParaRPr>
            </a:p>
          </xdr:txBody>
        </xdr:sp>
        <xdr:sp macro="" textlink="">
          <xdr:nvSpPr>
            <xdr:cNvPr id="63" name="lbl_31_1">
              <a:extLst>
                <a:ext uri="{FF2B5EF4-FFF2-40B4-BE49-F238E27FC236}">
                  <a16:creationId xmlns:a16="http://schemas.microsoft.com/office/drawing/2014/main" id="{8F6A7711-EB11-9C40-920C-AF752CD166BF}"/>
                </a:ext>
              </a:extLst>
            </xdr:cNvPr>
            <xdr:cNvSpPr/>
          </xdr:nvSpPr>
          <xdr:spPr>
            <a:xfrm>
              <a:off x="4137813" y="5092185"/>
              <a:ext cx="603522" cy="4958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rgbClr val="595959"/>
                  </a:solidFill>
                </a:rPr>
                <a:t>P</a:t>
              </a:r>
              <a:r>
                <a:rPr lang="en-US" sz="1400" baseline="0">
                  <a:solidFill>
                    <a:srgbClr val="595959"/>
                  </a:solidFill>
                </a:rPr>
                <a:t> 31</a:t>
              </a:r>
              <a:endParaRPr lang="en-US" sz="1400">
                <a:solidFill>
                  <a:srgbClr val="595959"/>
                </a:solidFill>
              </a:endParaRPr>
            </a:p>
          </xdr:txBody>
        </xdr:sp>
        <xdr:sp macro="" textlink="">
          <xdr:nvSpPr>
            <xdr:cNvPr id="64" name="lbl_30_1">
              <a:extLst>
                <a:ext uri="{FF2B5EF4-FFF2-40B4-BE49-F238E27FC236}">
                  <a16:creationId xmlns:a16="http://schemas.microsoft.com/office/drawing/2014/main" id="{F9A8B2E3-D355-074A-834C-A38594043530}"/>
                </a:ext>
              </a:extLst>
            </xdr:cNvPr>
            <xdr:cNvSpPr/>
          </xdr:nvSpPr>
          <xdr:spPr>
            <a:xfrm>
              <a:off x="4628880" y="4922850"/>
              <a:ext cx="603522" cy="4958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rgbClr val="595959"/>
                  </a:solidFill>
                </a:rPr>
                <a:t>P</a:t>
              </a:r>
              <a:r>
                <a:rPr lang="en-US" sz="1400" baseline="0">
                  <a:solidFill>
                    <a:srgbClr val="595959"/>
                  </a:solidFill>
                </a:rPr>
                <a:t> 30</a:t>
              </a:r>
              <a:endParaRPr lang="en-US" sz="1400">
                <a:solidFill>
                  <a:srgbClr val="595959"/>
                </a:solidFill>
              </a:endParaRPr>
            </a:p>
          </xdr:txBody>
        </xdr:sp>
        <xdr:sp macro="" textlink="">
          <xdr:nvSpPr>
            <xdr:cNvPr id="65" name="lbl_29_1">
              <a:extLst>
                <a:ext uri="{FF2B5EF4-FFF2-40B4-BE49-F238E27FC236}">
                  <a16:creationId xmlns:a16="http://schemas.microsoft.com/office/drawing/2014/main" id="{E61E5B16-5FAB-F846-8029-A9CD54321F16}"/>
                </a:ext>
              </a:extLst>
            </xdr:cNvPr>
            <xdr:cNvSpPr/>
          </xdr:nvSpPr>
          <xdr:spPr>
            <a:xfrm>
              <a:off x="4882881" y="4552739"/>
              <a:ext cx="603522" cy="4958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rgbClr val="595959"/>
                  </a:solidFill>
                </a:rPr>
                <a:t>P</a:t>
              </a:r>
              <a:r>
                <a:rPr lang="en-US" sz="1400" baseline="0">
                  <a:solidFill>
                    <a:srgbClr val="595959"/>
                  </a:solidFill>
                </a:rPr>
                <a:t> 29</a:t>
              </a:r>
              <a:endParaRPr lang="en-US" sz="1400">
                <a:solidFill>
                  <a:srgbClr val="595959"/>
                </a:solidFill>
              </a:endParaRPr>
            </a:p>
          </xdr:txBody>
        </xdr:sp>
        <xdr:sp macro="" textlink="">
          <xdr:nvSpPr>
            <xdr:cNvPr id="66" name="lbl_28_1">
              <a:extLst>
                <a:ext uri="{FF2B5EF4-FFF2-40B4-BE49-F238E27FC236}">
                  <a16:creationId xmlns:a16="http://schemas.microsoft.com/office/drawing/2014/main" id="{0D20EE0A-B5C4-4040-B44B-CF33176E03E2}"/>
                </a:ext>
              </a:extLst>
            </xdr:cNvPr>
            <xdr:cNvSpPr/>
          </xdr:nvSpPr>
          <xdr:spPr>
            <a:xfrm>
              <a:off x="5543279" y="4855116"/>
              <a:ext cx="603522" cy="483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rgbClr val="595959"/>
                  </a:solidFill>
                </a:rPr>
                <a:t>P</a:t>
              </a:r>
              <a:r>
                <a:rPr lang="en-US" sz="1400" baseline="0">
                  <a:solidFill>
                    <a:srgbClr val="595959"/>
                  </a:solidFill>
                </a:rPr>
                <a:t> 28</a:t>
              </a:r>
              <a:endParaRPr lang="en-US" sz="1400">
                <a:solidFill>
                  <a:srgbClr val="595959"/>
                </a:solidFill>
              </a:endParaRPr>
            </a:p>
          </xdr:txBody>
        </xdr:sp>
        <xdr:sp macro="" textlink="">
          <xdr:nvSpPr>
            <xdr:cNvPr id="67" name="lbl_27_1">
              <a:extLst>
                <a:ext uri="{FF2B5EF4-FFF2-40B4-BE49-F238E27FC236}">
                  <a16:creationId xmlns:a16="http://schemas.microsoft.com/office/drawing/2014/main" id="{409F4B0E-B386-D441-AAF3-DED7DB6BCDB9}"/>
                </a:ext>
              </a:extLst>
            </xdr:cNvPr>
            <xdr:cNvSpPr/>
          </xdr:nvSpPr>
          <xdr:spPr>
            <a:xfrm>
              <a:off x="5966613" y="5329249"/>
              <a:ext cx="603522" cy="4958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rgbClr val="595959"/>
                  </a:solidFill>
                </a:rPr>
                <a:t>P</a:t>
              </a:r>
              <a:r>
                <a:rPr lang="en-US" sz="1400" baseline="0">
                  <a:solidFill>
                    <a:srgbClr val="595959"/>
                  </a:solidFill>
                </a:rPr>
                <a:t> 27</a:t>
              </a:r>
              <a:endParaRPr lang="en-US" sz="1400">
                <a:solidFill>
                  <a:srgbClr val="595959"/>
                </a:solidFill>
              </a:endParaRPr>
            </a:p>
          </xdr:txBody>
        </xdr:sp>
        <xdr:sp macro="" textlink="">
          <xdr:nvSpPr>
            <xdr:cNvPr id="68" name="lbl_26_1">
              <a:extLst>
                <a:ext uri="{FF2B5EF4-FFF2-40B4-BE49-F238E27FC236}">
                  <a16:creationId xmlns:a16="http://schemas.microsoft.com/office/drawing/2014/main" id="{02FA93A5-264B-9F43-B2D7-6DDDD977A632}"/>
                </a:ext>
              </a:extLst>
            </xdr:cNvPr>
            <xdr:cNvSpPr/>
          </xdr:nvSpPr>
          <xdr:spPr>
            <a:xfrm>
              <a:off x="6931813" y="5549383"/>
              <a:ext cx="603522" cy="4958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rgbClr val="FFFFFF"/>
                  </a:solidFill>
                </a:rPr>
                <a:t>P</a:t>
              </a:r>
              <a:r>
                <a:rPr lang="en-US" sz="1400" baseline="0">
                  <a:solidFill>
                    <a:srgbClr val="FFFFFF"/>
                  </a:solidFill>
                </a:rPr>
                <a:t> 26</a:t>
              </a:r>
              <a:endParaRPr lang="en-US" sz="1400">
                <a:solidFill>
                  <a:srgbClr val="FFFFFF"/>
                </a:solidFill>
              </a:endParaRPr>
            </a:p>
          </xdr:txBody>
        </xdr:sp>
        <xdr:sp macro="" textlink="">
          <xdr:nvSpPr>
            <xdr:cNvPr id="69" name="lbl_25_1">
              <a:extLst>
                <a:ext uri="{FF2B5EF4-FFF2-40B4-BE49-F238E27FC236}">
                  <a16:creationId xmlns:a16="http://schemas.microsoft.com/office/drawing/2014/main" id="{476133C1-1E16-654C-B556-62F462884E49}"/>
                </a:ext>
              </a:extLst>
            </xdr:cNvPr>
            <xdr:cNvSpPr/>
          </xdr:nvSpPr>
          <xdr:spPr>
            <a:xfrm>
              <a:off x="6491547" y="5007521"/>
              <a:ext cx="603522" cy="4958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rgbClr val="595959"/>
                  </a:solidFill>
                </a:rPr>
                <a:t>P</a:t>
              </a:r>
              <a:r>
                <a:rPr lang="en-US" sz="1400" baseline="0">
                  <a:solidFill>
                    <a:srgbClr val="595959"/>
                  </a:solidFill>
                </a:rPr>
                <a:t> 25</a:t>
              </a:r>
              <a:endParaRPr lang="en-US" sz="1400">
                <a:solidFill>
                  <a:srgbClr val="595959"/>
                </a:solidFill>
              </a:endParaRPr>
            </a:p>
          </xdr:txBody>
        </xdr:sp>
        <xdr:sp macro="" textlink="">
          <xdr:nvSpPr>
            <xdr:cNvPr id="70" name="lbl_24_1">
              <a:extLst>
                <a:ext uri="{FF2B5EF4-FFF2-40B4-BE49-F238E27FC236}">
                  <a16:creationId xmlns:a16="http://schemas.microsoft.com/office/drawing/2014/main" id="{F398D001-4C0A-F341-B5E0-F3E5EF49D2A1}"/>
                </a:ext>
              </a:extLst>
            </xdr:cNvPr>
            <xdr:cNvSpPr/>
          </xdr:nvSpPr>
          <xdr:spPr>
            <a:xfrm>
              <a:off x="6914879" y="4990583"/>
              <a:ext cx="603522" cy="4958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rgbClr val="595959"/>
                  </a:solidFill>
                </a:rPr>
                <a:t>P</a:t>
              </a:r>
              <a:r>
                <a:rPr lang="en-US" sz="1400" baseline="0">
                  <a:solidFill>
                    <a:srgbClr val="595959"/>
                  </a:solidFill>
                </a:rPr>
                <a:t> 24</a:t>
              </a:r>
              <a:endParaRPr lang="en-US" sz="1400">
                <a:solidFill>
                  <a:srgbClr val="595959"/>
                </a:solidFill>
              </a:endParaRPr>
            </a:p>
          </xdr:txBody>
        </xdr:sp>
        <xdr:sp macro="" textlink="">
          <xdr:nvSpPr>
            <xdr:cNvPr id="71" name="lbl_23_1">
              <a:extLst>
                <a:ext uri="{FF2B5EF4-FFF2-40B4-BE49-F238E27FC236}">
                  <a16:creationId xmlns:a16="http://schemas.microsoft.com/office/drawing/2014/main" id="{43D8AAEA-6BB9-1A44-AB12-F88B1843D1DB}"/>
                </a:ext>
              </a:extLst>
            </xdr:cNvPr>
            <xdr:cNvSpPr/>
          </xdr:nvSpPr>
          <xdr:spPr>
            <a:xfrm>
              <a:off x="7439813" y="4888985"/>
              <a:ext cx="603522" cy="4958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rgbClr val="595959"/>
                  </a:solidFill>
                </a:rPr>
                <a:t>P</a:t>
              </a:r>
              <a:r>
                <a:rPr lang="en-US" sz="1400" baseline="0">
                  <a:solidFill>
                    <a:srgbClr val="595959"/>
                  </a:solidFill>
                </a:rPr>
                <a:t> 23</a:t>
              </a:r>
              <a:endParaRPr lang="en-US" sz="1400">
                <a:solidFill>
                  <a:srgbClr val="595959"/>
                </a:solidFill>
              </a:endParaRPr>
            </a:p>
          </xdr:txBody>
        </xdr:sp>
        <xdr:sp macro="" textlink="">
          <xdr:nvSpPr>
            <xdr:cNvPr id="72" name="lbl_22_1">
              <a:extLst>
                <a:ext uri="{FF2B5EF4-FFF2-40B4-BE49-F238E27FC236}">
                  <a16:creationId xmlns:a16="http://schemas.microsoft.com/office/drawing/2014/main" id="{4FDFD30D-A57A-C54C-9E8E-4BB66B707612}"/>
                </a:ext>
              </a:extLst>
            </xdr:cNvPr>
            <xdr:cNvSpPr/>
          </xdr:nvSpPr>
          <xdr:spPr>
            <a:xfrm>
              <a:off x="7101146" y="3923785"/>
              <a:ext cx="603522" cy="4958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rgbClr val="595959"/>
                  </a:solidFill>
                </a:rPr>
                <a:t>P</a:t>
              </a:r>
              <a:r>
                <a:rPr lang="en-US" sz="1400" baseline="0">
                  <a:solidFill>
                    <a:srgbClr val="595959"/>
                  </a:solidFill>
                </a:rPr>
                <a:t> 22</a:t>
              </a:r>
              <a:endParaRPr lang="en-US" sz="1400">
                <a:solidFill>
                  <a:srgbClr val="595959"/>
                </a:solidFill>
              </a:endParaRPr>
            </a:p>
          </xdr:txBody>
        </xdr:sp>
        <xdr:sp macro="" textlink="">
          <xdr:nvSpPr>
            <xdr:cNvPr id="73" name="lbl_21_1">
              <a:extLst>
                <a:ext uri="{FF2B5EF4-FFF2-40B4-BE49-F238E27FC236}">
                  <a16:creationId xmlns:a16="http://schemas.microsoft.com/office/drawing/2014/main" id="{3BC682B2-E085-A241-B0B3-2CA1056C858D}"/>
                </a:ext>
              </a:extLst>
            </xdr:cNvPr>
            <xdr:cNvSpPr/>
          </xdr:nvSpPr>
          <xdr:spPr>
            <a:xfrm>
              <a:off x="6169813" y="3686717"/>
              <a:ext cx="603522" cy="4958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rgbClr val="595959"/>
                  </a:solidFill>
                </a:rPr>
                <a:t>P</a:t>
              </a:r>
              <a:r>
                <a:rPr lang="en-US" sz="1400" baseline="0">
                  <a:solidFill>
                    <a:srgbClr val="595959"/>
                  </a:solidFill>
                </a:rPr>
                <a:t> 21</a:t>
              </a:r>
            </a:p>
          </xdr:txBody>
        </xdr:sp>
        <xdr:sp macro="" textlink="">
          <xdr:nvSpPr>
            <xdr:cNvPr id="74" name="lbl_20_1">
              <a:extLst>
                <a:ext uri="{FF2B5EF4-FFF2-40B4-BE49-F238E27FC236}">
                  <a16:creationId xmlns:a16="http://schemas.microsoft.com/office/drawing/2014/main" id="{5AAF5E37-C801-6E49-BD6A-BD74C265CABA}"/>
                </a:ext>
              </a:extLst>
            </xdr:cNvPr>
            <xdr:cNvSpPr/>
          </xdr:nvSpPr>
          <xdr:spPr>
            <a:xfrm>
              <a:off x="5543280" y="3822183"/>
              <a:ext cx="603522" cy="4958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rgbClr val="595959"/>
                  </a:solidFill>
                </a:rPr>
                <a:t>P</a:t>
              </a:r>
              <a:r>
                <a:rPr lang="en-US" sz="1400" baseline="0">
                  <a:solidFill>
                    <a:srgbClr val="595959"/>
                  </a:solidFill>
                </a:rPr>
                <a:t> 20</a:t>
              </a:r>
            </a:p>
          </xdr:txBody>
        </xdr:sp>
        <xdr:sp macro="" textlink="">
          <xdr:nvSpPr>
            <xdr:cNvPr id="75" name="lbl_19_1">
              <a:extLst>
                <a:ext uri="{FF2B5EF4-FFF2-40B4-BE49-F238E27FC236}">
                  <a16:creationId xmlns:a16="http://schemas.microsoft.com/office/drawing/2014/main" id="{8F94DBE7-9C8A-BE4F-88A9-32BD1149401D}"/>
                </a:ext>
              </a:extLst>
            </xdr:cNvPr>
            <xdr:cNvSpPr/>
          </xdr:nvSpPr>
          <xdr:spPr>
            <a:xfrm>
              <a:off x="5579267" y="4585162"/>
              <a:ext cx="603522" cy="4958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aseline="0">
                  <a:solidFill>
                    <a:srgbClr val="595959"/>
                  </a:solidFill>
                </a:rPr>
                <a:t>19</a:t>
              </a:r>
              <a:endParaRPr lang="en-US" sz="1400">
                <a:solidFill>
                  <a:srgbClr val="595959"/>
                </a:solidFill>
              </a:endParaRPr>
            </a:p>
          </xdr:txBody>
        </xdr:sp>
        <xdr:sp macro="" textlink="">
          <xdr:nvSpPr>
            <xdr:cNvPr id="76" name="lbl_18_1">
              <a:extLst>
                <a:ext uri="{FF2B5EF4-FFF2-40B4-BE49-F238E27FC236}">
                  <a16:creationId xmlns:a16="http://schemas.microsoft.com/office/drawing/2014/main" id="{5A48C7E1-2EC8-0941-8EA1-63662453FEB1}"/>
                </a:ext>
              </a:extLst>
            </xdr:cNvPr>
            <xdr:cNvSpPr/>
          </xdr:nvSpPr>
          <xdr:spPr>
            <a:xfrm>
              <a:off x="5306213" y="4516451"/>
              <a:ext cx="603522" cy="4958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rgbClr val="595959"/>
                  </a:solidFill>
                </a:rPr>
                <a:t>P</a:t>
              </a:r>
              <a:r>
                <a:rPr lang="en-US" sz="1400" baseline="0">
                  <a:solidFill>
                    <a:srgbClr val="595959"/>
                  </a:solidFill>
                </a:rPr>
                <a:t> 18</a:t>
              </a:r>
              <a:endParaRPr lang="en-US" sz="1400">
                <a:solidFill>
                  <a:srgbClr val="595959"/>
                </a:solidFill>
              </a:endParaRPr>
            </a:p>
          </xdr:txBody>
        </xdr:sp>
        <xdr:sp macro="" textlink="">
          <xdr:nvSpPr>
            <xdr:cNvPr id="77" name="lbl_17_1">
              <a:extLst>
                <a:ext uri="{FF2B5EF4-FFF2-40B4-BE49-F238E27FC236}">
                  <a16:creationId xmlns:a16="http://schemas.microsoft.com/office/drawing/2014/main" id="{7ECF058D-86CA-864D-8061-90B91A4A90DD}"/>
                </a:ext>
              </a:extLst>
            </xdr:cNvPr>
            <xdr:cNvSpPr/>
          </xdr:nvSpPr>
          <xdr:spPr>
            <a:xfrm>
              <a:off x="5390880" y="4276968"/>
              <a:ext cx="603522" cy="4958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rgbClr val="595959"/>
                  </a:solidFill>
                </a:rPr>
                <a:t>P</a:t>
              </a:r>
              <a:r>
                <a:rPr lang="en-US" sz="1400" baseline="0">
                  <a:solidFill>
                    <a:srgbClr val="595959"/>
                  </a:solidFill>
                </a:rPr>
                <a:t> 17</a:t>
              </a:r>
              <a:endParaRPr lang="en-US" sz="1400">
                <a:solidFill>
                  <a:srgbClr val="595959"/>
                </a:solidFill>
              </a:endParaRPr>
            </a:p>
          </xdr:txBody>
        </xdr:sp>
        <xdr:sp macro="" textlink="">
          <xdr:nvSpPr>
            <xdr:cNvPr id="78" name="lbl_16_1">
              <a:extLst>
                <a:ext uri="{FF2B5EF4-FFF2-40B4-BE49-F238E27FC236}">
                  <a16:creationId xmlns:a16="http://schemas.microsoft.com/office/drawing/2014/main" id="{1B4CB344-74E4-8A4E-960F-169F75B676AD}"/>
                </a:ext>
              </a:extLst>
            </xdr:cNvPr>
            <xdr:cNvSpPr/>
          </xdr:nvSpPr>
          <xdr:spPr>
            <a:xfrm>
              <a:off x="5306213" y="4071350"/>
              <a:ext cx="603522" cy="4958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rgbClr val="595959"/>
                  </a:solidFill>
                </a:rPr>
                <a:t>P</a:t>
              </a:r>
              <a:r>
                <a:rPr lang="en-US" sz="1400" baseline="0">
                  <a:solidFill>
                    <a:srgbClr val="595959"/>
                  </a:solidFill>
                </a:rPr>
                <a:t> 16</a:t>
              </a:r>
              <a:endParaRPr lang="en-US" sz="1400">
                <a:solidFill>
                  <a:srgbClr val="595959"/>
                </a:solidFill>
              </a:endParaRPr>
            </a:p>
          </xdr:txBody>
        </xdr:sp>
        <xdr:sp macro="" textlink="">
          <xdr:nvSpPr>
            <xdr:cNvPr id="79" name="lbl_15_1">
              <a:extLst>
                <a:ext uri="{FF2B5EF4-FFF2-40B4-BE49-F238E27FC236}">
                  <a16:creationId xmlns:a16="http://schemas.microsoft.com/office/drawing/2014/main" id="{3238F178-C2C4-6748-9B03-F94F1D9D75BC}"/>
                </a:ext>
              </a:extLst>
            </xdr:cNvPr>
            <xdr:cNvSpPr/>
          </xdr:nvSpPr>
          <xdr:spPr>
            <a:xfrm>
              <a:off x="5086080" y="4322931"/>
              <a:ext cx="603522" cy="4958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rgbClr val="595959"/>
                  </a:solidFill>
                </a:rPr>
                <a:t>P</a:t>
              </a:r>
              <a:r>
                <a:rPr lang="en-US" sz="1400" baseline="0">
                  <a:solidFill>
                    <a:srgbClr val="595959"/>
                  </a:solidFill>
                </a:rPr>
                <a:t> 15</a:t>
              </a:r>
              <a:endParaRPr lang="en-US" sz="1400">
                <a:solidFill>
                  <a:srgbClr val="595959"/>
                </a:solidFill>
              </a:endParaRPr>
            </a:p>
          </xdr:txBody>
        </xdr:sp>
        <xdr:sp macro="" textlink="">
          <xdr:nvSpPr>
            <xdr:cNvPr id="80" name="lbl_14_1">
              <a:extLst>
                <a:ext uri="{FF2B5EF4-FFF2-40B4-BE49-F238E27FC236}">
                  <a16:creationId xmlns:a16="http://schemas.microsoft.com/office/drawing/2014/main" id="{F314420E-0969-9A40-979F-8FAED30B0035}"/>
                </a:ext>
              </a:extLst>
            </xdr:cNvPr>
            <xdr:cNvSpPr/>
          </xdr:nvSpPr>
          <xdr:spPr>
            <a:xfrm>
              <a:off x="4815147" y="4066513"/>
              <a:ext cx="603522" cy="4958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rgbClr val="595959"/>
                  </a:solidFill>
                </a:rPr>
                <a:t>P</a:t>
              </a:r>
              <a:r>
                <a:rPr lang="en-US" sz="1400" baseline="0">
                  <a:solidFill>
                    <a:srgbClr val="595959"/>
                  </a:solidFill>
                </a:rPr>
                <a:t> 14</a:t>
              </a:r>
              <a:endParaRPr lang="en-US" sz="1400">
                <a:solidFill>
                  <a:srgbClr val="595959"/>
                </a:solidFill>
              </a:endParaRPr>
            </a:p>
          </xdr:txBody>
        </xdr:sp>
        <xdr:sp macro="" textlink="">
          <xdr:nvSpPr>
            <xdr:cNvPr id="81" name="lbl_13_1">
              <a:extLst>
                <a:ext uri="{FF2B5EF4-FFF2-40B4-BE49-F238E27FC236}">
                  <a16:creationId xmlns:a16="http://schemas.microsoft.com/office/drawing/2014/main" id="{DBDFFCE1-23EF-BD41-8C52-FD8807866038}"/>
                </a:ext>
              </a:extLst>
            </xdr:cNvPr>
            <xdr:cNvSpPr/>
          </xdr:nvSpPr>
          <xdr:spPr>
            <a:xfrm>
              <a:off x="4391814" y="4736582"/>
              <a:ext cx="603522" cy="4958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rgbClr val="595959"/>
                  </a:solidFill>
                </a:rPr>
                <a:t>P</a:t>
              </a:r>
              <a:r>
                <a:rPr lang="en-US" sz="1400" baseline="0">
                  <a:solidFill>
                    <a:srgbClr val="595959"/>
                  </a:solidFill>
                </a:rPr>
                <a:t> 13</a:t>
              </a:r>
              <a:endParaRPr lang="en-US" sz="1400">
                <a:solidFill>
                  <a:srgbClr val="595959"/>
                </a:solidFill>
              </a:endParaRPr>
            </a:p>
          </xdr:txBody>
        </xdr:sp>
        <xdr:sp macro="" textlink="">
          <xdr:nvSpPr>
            <xdr:cNvPr id="82" name="lbl_12_1">
              <a:extLst>
                <a:ext uri="{FF2B5EF4-FFF2-40B4-BE49-F238E27FC236}">
                  <a16:creationId xmlns:a16="http://schemas.microsoft.com/office/drawing/2014/main" id="{5CD00B0D-EB77-F744-8FCD-C785553CCA6B}"/>
                </a:ext>
              </a:extLst>
            </xdr:cNvPr>
            <xdr:cNvSpPr/>
          </xdr:nvSpPr>
          <xdr:spPr>
            <a:xfrm>
              <a:off x="3985414" y="4639827"/>
              <a:ext cx="603522" cy="4958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rgbClr val="595959"/>
                  </a:solidFill>
                </a:rPr>
                <a:t>P</a:t>
              </a:r>
              <a:r>
                <a:rPr lang="en-US" sz="1400" baseline="0">
                  <a:solidFill>
                    <a:srgbClr val="595959"/>
                  </a:solidFill>
                </a:rPr>
                <a:t> 12</a:t>
              </a:r>
              <a:endParaRPr lang="en-US" sz="1400">
                <a:solidFill>
                  <a:srgbClr val="595959"/>
                </a:solidFill>
              </a:endParaRPr>
            </a:p>
          </xdr:txBody>
        </xdr:sp>
        <xdr:sp macro="" textlink="">
          <xdr:nvSpPr>
            <xdr:cNvPr id="83" name="lbl_11_1">
              <a:extLst>
                <a:ext uri="{FF2B5EF4-FFF2-40B4-BE49-F238E27FC236}">
                  <a16:creationId xmlns:a16="http://schemas.microsoft.com/office/drawing/2014/main" id="{8934AD18-CE20-914B-8ACD-8D98E0F52455}"/>
                </a:ext>
              </a:extLst>
            </xdr:cNvPr>
            <xdr:cNvSpPr/>
          </xdr:nvSpPr>
          <xdr:spPr>
            <a:xfrm>
              <a:off x="4070080" y="4260032"/>
              <a:ext cx="603522" cy="4958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rgbClr val="595959"/>
                  </a:solidFill>
                </a:rPr>
                <a:t>P</a:t>
              </a:r>
              <a:r>
                <a:rPr lang="en-US" sz="1400" baseline="0">
                  <a:solidFill>
                    <a:srgbClr val="595959"/>
                  </a:solidFill>
                </a:rPr>
                <a:t> 11</a:t>
              </a:r>
              <a:endParaRPr lang="en-US" sz="1400">
                <a:solidFill>
                  <a:srgbClr val="595959"/>
                </a:solidFill>
              </a:endParaRPr>
            </a:p>
          </xdr:txBody>
        </xdr:sp>
        <xdr:sp macro="" textlink="">
          <xdr:nvSpPr>
            <xdr:cNvPr id="84" name="lbl_10_1">
              <a:extLst>
                <a:ext uri="{FF2B5EF4-FFF2-40B4-BE49-F238E27FC236}">
                  <a16:creationId xmlns:a16="http://schemas.microsoft.com/office/drawing/2014/main" id="{022CF6B2-5DC2-A44A-9DD6-71D9A9ACF9EB}"/>
                </a:ext>
              </a:extLst>
            </xdr:cNvPr>
            <xdr:cNvSpPr/>
          </xdr:nvSpPr>
          <xdr:spPr>
            <a:xfrm>
              <a:off x="3257280" y="4533384"/>
              <a:ext cx="603522" cy="4958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rgbClr val="595959"/>
                  </a:solidFill>
                </a:rPr>
                <a:t>P</a:t>
              </a:r>
              <a:r>
                <a:rPr lang="en-US" sz="1400" baseline="0">
                  <a:solidFill>
                    <a:srgbClr val="595959"/>
                  </a:solidFill>
                </a:rPr>
                <a:t> 10</a:t>
              </a:r>
              <a:endParaRPr lang="en-US" sz="1400">
                <a:solidFill>
                  <a:srgbClr val="595959"/>
                </a:solidFill>
              </a:endParaRPr>
            </a:p>
          </xdr:txBody>
        </xdr:sp>
        <xdr:sp macro="" textlink="">
          <xdr:nvSpPr>
            <xdr:cNvPr id="85" name="lbl_9_1">
              <a:extLst>
                <a:ext uri="{FF2B5EF4-FFF2-40B4-BE49-F238E27FC236}">
                  <a16:creationId xmlns:a16="http://schemas.microsoft.com/office/drawing/2014/main" id="{A37F69E4-0651-AC4C-95FB-9BDA25E5CD93}"/>
                </a:ext>
              </a:extLst>
            </xdr:cNvPr>
            <xdr:cNvSpPr/>
          </xdr:nvSpPr>
          <xdr:spPr>
            <a:xfrm>
              <a:off x="3409680" y="3568185"/>
              <a:ext cx="603522" cy="4958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rgbClr val="595959"/>
                  </a:solidFill>
                </a:rPr>
                <a:t>P</a:t>
              </a:r>
              <a:r>
                <a:rPr lang="en-US" sz="1400" baseline="0">
                  <a:solidFill>
                    <a:srgbClr val="595959"/>
                  </a:solidFill>
                </a:rPr>
                <a:t> 9</a:t>
              </a:r>
              <a:endParaRPr lang="en-US" sz="1400">
                <a:solidFill>
                  <a:srgbClr val="595959"/>
                </a:solidFill>
              </a:endParaRPr>
            </a:p>
          </xdr:txBody>
        </xdr:sp>
        <xdr:sp macro="" textlink="">
          <xdr:nvSpPr>
            <xdr:cNvPr id="86" name="lbl_8_1">
              <a:extLst>
                <a:ext uri="{FF2B5EF4-FFF2-40B4-BE49-F238E27FC236}">
                  <a16:creationId xmlns:a16="http://schemas.microsoft.com/office/drawing/2014/main" id="{CE017542-DC4D-FE42-ACC1-11FD83773EB5}"/>
                </a:ext>
              </a:extLst>
            </xdr:cNvPr>
            <xdr:cNvSpPr/>
          </xdr:nvSpPr>
          <xdr:spPr>
            <a:xfrm>
              <a:off x="3934614" y="2924718"/>
              <a:ext cx="603522" cy="4958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rgbClr val="595959"/>
                  </a:solidFill>
                </a:rPr>
                <a:t>P</a:t>
              </a:r>
              <a:r>
                <a:rPr lang="en-US" sz="1400" baseline="0">
                  <a:solidFill>
                    <a:srgbClr val="595959"/>
                  </a:solidFill>
                </a:rPr>
                <a:t> 8</a:t>
              </a:r>
              <a:endParaRPr lang="en-US" sz="1400">
                <a:solidFill>
                  <a:srgbClr val="595959"/>
                </a:solidFill>
              </a:endParaRPr>
            </a:p>
          </xdr:txBody>
        </xdr:sp>
        <xdr:sp macro="" textlink="">
          <xdr:nvSpPr>
            <xdr:cNvPr id="87" name="lbl_7_1">
              <a:extLst>
                <a:ext uri="{FF2B5EF4-FFF2-40B4-BE49-F238E27FC236}">
                  <a16:creationId xmlns:a16="http://schemas.microsoft.com/office/drawing/2014/main" id="{612A526E-6C0D-8643-AD14-B302705885B4}"/>
                </a:ext>
              </a:extLst>
            </xdr:cNvPr>
            <xdr:cNvSpPr/>
          </xdr:nvSpPr>
          <xdr:spPr>
            <a:xfrm>
              <a:off x="4950613" y="3614147"/>
              <a:ext cx="603522" cy="4958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rgbClr val="595959"/>
                  </a:solidFill>
                </a:rPr>
                <a:t>P</a:t>
              </a:r>
              <a:r>
                <a:rPr lang="en-US" sz="1400" baseline="0">
                  <a:solidFill>
                    <a:srgbClr val="595959"/>
                  </a:solidFill>
                </a:rPr>
                <a:t> 7</a:t>
              </a:r>
              <a:endParaRPr lang="en-US" sz="1400">
                <a:solidFill>
                  <a:srgbClr val="595959"/>
                </a:solidFill>
              </a:endParaRPr>
            </a:p>
          </xdr:txBody>
        </xdr:sp>
        <xdr:sp macro="" textlink="">
          <xdr:nvSpPr>
            <xdr:cNvPr id="88" name="lbl_6_1">
              <a:extLst>
                <a:ext uri="{FF2B5EF4-FFF2-40B4-BE49-F238E27FC236}">
                  <a16:creationId xmlns:a16="http://schemas.microsoft.com/office/drawing/2014/main" id="{D2380A65-B3F3-074A-847E-663B8EF7814C}"/>
                </a:ext>
              </a:extLst>
            </xdr:cNvPr>
            <xdr:cNvSpPr/>
          </xdr:nvSpPr>
          <xdr:spPr>
            <a:xfrm>
              <a:off x="5898881" y="3348051"/>
              <a:ext cx="603522" cy="4958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rgbClr val="FFFFFF"/>
                  </a:solidFill>
                </a:rPr>
                <a:t>P</a:t>
              </a:r>
              <a:r>
                <a:rPr lang="en-US" sz="1400" baseline="0">
                  <a:solidFill>
                    <a:srgbClr val="FFFFFF"/>
                  </a:solidFill>
                </a:rPr>
                <a:t> 6</a:t>
              </a:r>
              <a:endParaRPr lang="en-US" sz="1400">
                <a:solidFill>
                  <a:srgbClr val="FFFFFF"/>
                </a:solidFill>
              </a:endParaRPr>
            </a:p>
          </xdr:txBody>
        </xdr:sp>
        <xdr:sp macro="" textlink="">
          <xdr:nvSpPr>
            <xdr:cNvPr id="89" name="lbl_5_1">
              <a:extLst>
                <a:ext uri="{FF2B5EF4-FFF2-40B4-BE49-F238E27FC236}">
                  <a16:creationId xmlns:a16="http://schemas.microsoft.com/office/drawing/2014/main" id="{3193CEB4-B2D8-FE4A-9FD3-3940B95880FE}"/>
                </a:ext>
              </a:extLst>
            </xdr:cNvPr>
            <xdr:cNvSpPr/>
          </xdr:nvSpPr>
          <xdr:spPr>
            <a:xfrm>
              <a:off x="6694747" y="3374661"/>
              <a:ext cx="603522" cy="4958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rgbClr val="595959"/>
                  </a:solidFill>
                </a:rPr>
                <a:t>P</a:t>
              </a:r>
              <a:r>
                <a:rPr lang="en-US" sz="1400" baseline="0">
                  <a:solidFill>
                    <a:srgbClr val="595959"/>
                  </a:solidFill>
                </a:rPr>
                <a:t> 5</a:t>
              </a:r>
              <a:endParaRPr lang="en-US" sz="1400">
                <a:solidFill>
                  <a:srgbClr val="595959"/>
                </a:solidFill>
              </a:endParaRPr>
            </a:p>
          </xdr:txBody>
        </xdr:sp>
        <xdr:sp macro="" textlink="">
          <xdr:nvSpPr>
            <xdr:cNvPr id="90" name="lbl_4_1">
              <a:extLst>
                <a:ext uri="{FF2B5EF4-FFF2-40B4-BE49-F238E27FC236}">
                  <a16:creationId xmlns:a16="http://schemas.microsoft.com/office/drawing/2014/main" id="{6635578F-B133-E44F-8918-C6E5EC0E3918}"/>
                </a:ext>
              </a:extLst>
            </xdr:cNvPr>
            <xdr:cNvSpPr/>
          </xdr:nvSpPr>
          <xdr:spPr>
            <a:xfrm>
              <a:off x="7490613" y="3195650"/>
              <a:ext cx="603522" cy="4958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rgbClr val="595959"/>
                  </a:solidFill>
                </a:rPr>
                <a:t>P</a:t>
              </a:r>
              <a:r>
                <a:rPr lang="en-US" sz="1400" baseline="0">
                  <a:solidFill>
                    <a:srgbClr val="595959"/>
                  </a:solidFill>
                </a:rPr>
                <a:t> 4</a:t>
              </a:r>
              <a:endParaRPr lang="en-US" sz="1400">
                <a:solidFill>
                  <a:srgbClr val="595959"/>
                </a:solidFill>
              </a:endParaRPr>
            </a:p>
          </xdr:txBody>
        </xdr:sp>
        <xdr:sp macro="" textlink="">
          <xdr:nvSpPr>
            <xdr:cNvPr id="91" name="lbl_3_1">
              <a:extLst>
                <a:ext uri="{FF2B5EF4-FFF2-40B4-BE49-F238E27FC236}">
                  <a16:creationId xmlns:a16="http://schemas.microsoft.com/office/drawing/2014/main" id="{6ED9D66C-5B61-754A-8B75-75713DFB954B}"/>
                </a:ext>
              </a:extLst>
            </xdr:cNvPr>
            <xdr:cNvSpPr/>
          </xdr:nvSpPr>
          <xdr:spPr>
            <a:xfrm>
              <a:off x="6762480" y="2593310"/>
              <a:ext cx="603522" cy="4958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rgbClr val="595959"/>
                  </a:solidFill>
                </a:rPr>
                <a:t>P</a:t>
              </a:r>
              <a:r>
                <a:rPr lang="en-US" sz="1400" baseline="0">
                  <a:solidFill>
                    <a:srgbClr val="595959"/>
                  </a:solidFill>
                </a:rPr>
                <a:t> 3</a:t>
              </a:r>
              <a:endParaRPr lang="en-US" sz="1400">
                <a:solidFill>
                  <a:srgbClr val="595959"/>
                </a:solidFill>
              </a:endParaRPr>
            </a:p>
          </xdr:txBody>
        </xdr:sp>
        <xdr:sp macro="" textlink="">
          <xdr:nvSpPr>
            <xdr:cNvPr id="92" name="lbl_2_1">
              <a:extLst>
                <a:ext uri="{FF2B5EF4-FFF2-40B4-BE49-F238E27FC236}">
                  <a16:creationId xmlns:a16="http://schemas.microsoft.com/office/drawing/2014/main" id="{294D9476-903E-7646-B085-43822031FF03}"/>
                </a:ext>
              </a:extLst>
            </xdr:cNvPr>
            <xdr:cNvSpPr/>
          </xdr:nvSpPr>
          <xdr:spPr>
            <a:xfrm>
              <a:off x="5966614" y="2912625"/>
              <a:ext cx="603522" cy="4958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rgbClr val="595959"/>
                  </a:solidFill>
                </a:rPr>
                <a:t>P</a:t>
              </a:r>
              <a:r>
                <a:rPr lang="en-US" sz="1400" baseline="0">
                  <a:solidFill>
                    <a:srgbClr val="595959"/>
                  </a:solidFill>
                </a:rPr>
                <a:t> 2</a:t>
              </a:r>
              <a:endParaRPr lang="en-US" sz="1400">
                <a:solidFill>
                  <a:srgbClr val="595959"/>
                </a:solidFill>
              </a:endParaRPr>
            </a:p>
          </xdr:txBody>
        </xdr:sp>
        <xdr:sp macro="" textlink="">
          <xdr:nvSpPr>
            <xdr:cNvPr id="93" name="lbl_1_1">
              <a:extLst>
                <a:ext uri="{FF2B5EF4-FFF2-40B4-BE49-F238E27FC236}">
                  <a16:creationId xmlns:a16="http://schemas.microsoft.com/office/drawing/2014/main" id="{84169BDE-8199-7E41-BAAD-38A1EBDD503E}"/>
                </a:ext>
              </a:extLst>
            </xdr:cNvPr>
            <xdr:cNvSpPr/>
          </xdr:nvSpPr>
          <xdr:spPr>
            <a:xfrm>
              <a:off x="6102080" y="2145784"/>
              <a:ext cx="603522" cy="4958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rgbClr val="595959"/>
                  </a:solidFill>
                </a:rPr>
                <a:t>P</a:t>
              </a:r>
              <a:r>
                <a:rPr lang="en-US" sz="1400" baseline="0">
                  <a:solidFill>
                    <a:srgbClr val="595959"/>
                  </a:solidFill>
                </a:rPr>
                <a:t> 1</a:t>
              </a:r>
              <a:endParaRPr lang="en-US" sz="1400">
                <a:solidFill>
                  <a:srgbClr val="595959"/>
                </a:solidFill>
              </a:endParaRP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editAs="absolute">
    <xdr:from>
      <xdr:col>5</xdr:col>
      <xdr:colOff>330200</xdr:colOff>
      <xdr:row>5</xdr:row>
      <xdr:rowOff>146050</xdr:rowOff>
    </xdr:from>
    <xdr:to>
      <xdr:col>14</xdr:col>
      <xdr:colOff>444500</xdr:colOff>
      <xdr:row>38</xdr:row>
      <xdr:rowOff>112522</xdr:rowOff>
    </xdr:to>
    <xdr:graphicFrame macro="">
      <xdr:nvGraphicFramePr>
        <xdr:cNvPr id="6" name="Chart 5">
          <a:extLst>
            <a:ext uri="{FF2B5EF4-FFF2-40B4-BE49-F238E27FC236}">
              <a16:creationId xmlns:a16="http://schemas.microsoft.com/office/drawing/2014/main" id="{0278D830-C394-484B-B382-6B89712CCCA4}"/>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15</xdr:row>
      <xdr:rowOff>0</xdr:rowOff>
    </xdr:from>
    <xdr:to>
      <xdr:col>18</xdr:col>
      <xdr:colOff>88900</xdr:colOff>
      <xdr:row>20</xdr:row>
      <xdr:rowOff>25400</xdr:rowOff>
    </xdr:to>
    <xdr:pic>
      <xdr:nvPicPr>
        <xdr:cNvPr id="8" name="Graphic 7" descr="Deciduous tree">
          <a:extLst>
            <a:ext uri="{FF2B5EF4-FFF2-40B4-BE49-F238E27FC236}">
              <a16:creationId xmlns:a16="http://schemas.microsoft.com/office/drawing/2014/main" id="{B7E2C7B2-1E45-794D-9A84-75214DB3D7E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4033500" y="2667000"/>
          <a:ext cx="914400" cy="91440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GeoTable4" displayName="GeoTable4" ref="B3:G44" totalsRowShown="0" headerRowDxfId="21" dataDxfId="20" tableBorderDxfId="19">
  <autoFilter ref="B3:G44" xr:uid="{00000000-0009-0000-0100-000003000000}"/>
  <tableColumns count="6">
    <tableColumn id="1" xr3:uid="{00000000-0010-0000-0000-000001000000}" name="LOCATION"/>
    <tableColumn id="2" xr3:uid="{00000000-0010-0000-0000-000002000000}" name="PCODE"/>
    <tableColumn id="7" xr3:uid="{00000000-0010-0000-0000-000007000000}" name="example" dataDxfId="2"/>
    <tableColumn id="3" xr3:uid="{00000000-0010-0000-0000-000003000000}" name="cumulative" dataDxfId="0"/>
    <tableColumn id="4" xr3:uid="{00000000-0010-0000-0000-000004000000}" name="last 21 days" dataDxfId="1"/>
    <tableColumn id="5" xr3:uid="{00000000-0010-0000-0000-000005000000}" name="Alerts" dataDxfId="18"/>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MapDataTbl" displayName="MapDataTbl" ref="B3:K44" totalsRowShown="0" headerRowDxfId="17" dataDxfId="16">
  <autoFilter ref="B3:K44" xr:uid="{00000000-0009-0000-0100-000004000000}"/>
  <tableColumns count="10">
    <tableColumn id="1" xr3:uid="{00000000-0010-0000-0100-000001000000}" name="Location"/>
    <tableColumn id="2" xr3:uid="{00000000-0010-0000-0100-000002000000}" name="PCODE"/>
    <tableColumn id="4" xr3:uid="{00000000-0010-0000-0100-000004000000}" name="Value" dataDxfId="15">
      <calculatedColumnFormula>OFFSET(DataEntry!$B$3,ROWS($D$4:D4),Calculation!$V$5-1)</calculatedColumnFormula>
    </tableColumn>
    <tableColumn id="14" xr3:uid="{00000000-0010-0000-0100-00000E000000}" name="Value+" dataDxfId="14">
      <calculatedColumnFormula>MapDataTbl[[#This Row],[Value]]+ROWS($E$4:E4)*0.000001</calculatedColumnFormula>
    </tableColumn>
    <tableColumn id="13" xr3:uid="{00000000-0010-0000-0100-00000D000000}" name="Rank" dataDxfId="13">
      <calculatedColumnFormula>RANK(MapDataTbl[[#This Row],[Value+]],MapDataTbl[Value+],0)</calculatedColumnFormula>
    </tableColumn>
    <tableColumn id="12" xr3:uid="{00000000-0010-0000-0100-00000C000000}" name="Position" dataDxfId="12"/>
    <tableColumn id="11" xr3:uid="{00000000-0010-0000-0100-00000B000000}" name="Top Location" dataDxfId="11">
      <calculatedColumnFormula>INDEX(MapDataTbl[[Location]:[Value]],MATCH(MapDataTbl[[#This Row],[Position]],MapDataTbl[Rank],0),1)</calculatedColumnFormula>
    </tableColumn>
    <tableColumn id="10" xr3:uid="{00000000-0010-0000-0100-00000A000000}" name="Top Value" dataDxfId="10">
      <calculatedColumnFormula>INDEX(MapDataTbl[[Location]:[Value]],MATCH(MapDataTbl[[#This Row],[Position]],MapDataTbl[Rank],0),3)</calculatedColumnFormula>
    </tableColumn>
    <tableColumn id="3" xr3:uid="{00000000-0010-0000-0100-000003000000}" name="%ofTotal" dataDxfId="9">
      <calculatedColumnFormula>MapDataTbl[[#This Row],[Top Value]]/SUM(MapDataTbl[Top Value])</calculatedColumnFormula>
    </tableColumn>
    <tableColumn id="5" xr3:uid="{00000000-0010-0000-0100-000005000000}" name="Range Color" dataDxfId="8">
      <calculatedColumnFormula>MATCH(MapDataTbl[[#This Row],[Value]],BinArray_1,1)</calculatedColumnFormula>
    </tableColumn>
  </tableColumns>
  <tableStyleInfo name="TableStyleLight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2000000}" name="ColorRamp" displayName="ColorRamp" ref="A1:D7" headerRowDxfId="7" dataDxfId="6">
  <autoFilter ref="A1:D7" xr:uid="{00000000-0009-0000-0100-000001000000}"/>
  <tableColumns count="4">
    <tableColumn id="1" xr3:uid="{00000000-0010-0000-0200-000001000000}" name="R" dataDxfId="5"/>
    <tableColumn id="2" xr3:uid="{00000000-0010-0000-0200-000002000000}" name="G" dataDxfId="4"/>
    <tableColumn id="3" xr3:uid="{00000000-0010-0000-0200-000003000000}" name="B" dataDxfId="3"/>
    <tableColumn id="4" xr3:uid="{00000000-0010-0000-0200-000004000000}" name="Color"/>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3000000}" name="GeoTable" displayName="GeoTable" ref="F1:G42" totalsRowShown="0">
  <autoFilter ref="F1:G42" xr:uid="{00000000-0009-0000-0100-000002000000}"/>
  <tableColumns count="2">
    <tableColumn id="1" xr3:uid="{00000000-0010-0000-0300-000001000000}" name="LOCATION"/>
    <tableColumn id="2" xr3:uid="{00000000-0010-0000-0300-000002000000}" name="PCODE"/>
  </tableColumns>
  <tableStyleInfo name="TableStyleLight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blog.cartong.org/2015/11/20/choropleth-maps-excel/"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B18"/>
  <sheetViews>
    <sheetView showGridLines="0" workbookViewId="0">
      <selection activeCell="A10" sqref="A10"/>
    </sheetView>
  </sheetViews>
  <sheetFormatPr baseColWidth="10" defaultColWidth="11.1640625" defaultRowHeight="14" x14ac:dyDescent="0.15"/>
  <cols>
    <col min="1" max="1" width="57.5" customWidth="1"/>
  </cols>
  <sheetData>
    <row r="1" spans="1:1" x14ac:dyDescent="0.15">
      <c r="A1" s="50" t="s">
        <v>56</v>
      </c>
    </row>
    <row r="3" spans="1:1" x14ac:dyDescent="0.15">
      <c r="A3" t="s">
        <v>39</v>
      </c>
    </row>
    <row r="4" spans="1:1" x14ac:dyDescent="0.15">
      <c r="A4" t="s">
        <v>108</v>
      </c>
    </row>
    <row r="5" spans="1:1" x14ac:dyDescent="0.15">
      <c r="A5" t="s">
        <v>109</v>
      </c>
    </row>
    <row r="6" spans="1:1" x14ac:dyDescent="0.15">
      <c r="A6" t="s">
        <v>110</v>
      </c>
    </row>
    <row r="7" spans="1:1" x14ac:dyDescent="0.15">
      <c r="A7" t="s">
        <v>111</v>
      </c>
    </row>
    <row r="8" spans="1:1" x14ac:dyDescent="0.15">
      <c r="A8" t="s">
        <v>112</v>
      </c>
    </row>
    <row r="9" spans="1:1" x14ac:dyDescent="0.15">
      <c r="A9" t="s">
        <v>113</v>
      </c>
    </row>
    <row r="10" spans="1:1" x14ac:dyDescent="0.15">
      <c r="A10" t="s">
        <v>114</v>
      </c>
    </row>
    <row r="11" spans="1:1" ht="14.25" customHeight="1" x14ac:dyDescent="0.15">
      <c r="A11" t="s">
        <v>115</v>
      </c>
    </row>
    <row r="12" spans="1:1" ht="14.25" customHeight="1" x14ac:dyDescent="0.15">
      <c r="A12" t="s">
        <v>116</v>
      </c>
    </row>
    <row r="13" spans="1:1" ht="14.25" customHeight="1" x14ac:dyDescent="0.15">
      <c r="A13" t="s">
        <v>117</v>
      </c>
    </row>
    <row r="15" spans="1:1" ht="14.25" customHeight="1" x14ac:dyDescent="0.15">
      <c r="A15" s="49" t="s">
        <v>42</v>
      </c>
    </row>
    <row r="17" spans="1:2" x14ac:dyDescent="0.15">
      <c r="A17" s="5" t="s">
        <v>118</v>
      </c>
      <c r="B17" s="82" t="s">
        <v>105</v>
      </c>
    </row>
    <row r="18" spans="1:2" x14ac:dyDescent="0.15">
      <c r="A18" s="5" t="s">
        <v>106</v>
      </c>
      <c r="B18" t="s">
        <v>107</v>
      </c>
    </row>
  </sheetData>
  <hyperlinks>
    <hyperlink ref="B17" r:id="rId1" xr:uid="{84A6B408-61E0-7A4C-B3C7-2AE9FA5BCF41}"/>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
  <dimension ref="A1:M62"/>
  <sheetViews>
    <sheetView showGridLines="0" tabSelected="1" zoomScaleNormal="100" workbookViewId="0">
      <selection activeCell="B3" sqref="B3"/>
    </sheetView>
  </sheetViews>
  <sheetFormatPr baseColWidth="10" defaultColWidth="11.1640625" defaultRowHeight="14" x14ac:dyDescent="0.15"/>
  <cols>
    <col min="1" max="1" width="9.83203125" customWidth="1"/>
    <col min="2" max="2" width="33" bestFit="1" customWidth="1"/>
  </cols>
  <sheetData>
    <row r="1" spans="1:13" x14ac:dyDescent="0.15">
      <c r="B1" s="69"/>
      <c r="C1" s="69"/>
      <c r="D1" s="70"/>
      <c r="E1" s="70"/>
      <c r="F1" s="70"/>
      <c r="G1" s="70"/>
      <c r="H1" s="70"/>
      <c r="I1" s="70"/>
      <c r="J1" s="69"/>
      <c r="K1" s="69"/>
      <c r="L1" s="69"/>
      <c r="M1" s="69"/>
    </row>
    <row r="2" spans="1:13" ht="15" thickBot="1" x14ac:dyDescent="0.2">
      <c r="A2" s="67"/>
      <c r="B2" s="67" t="s">
        <v>24</v>
      </c>
      <c r="C2" s="67"/>
      <c r="D2" s="67"/>
      <c r="E2" s="67"/>
      <c r="F2" s="67"/>
      <c r="G2" s="69"/>
      <c r="H2" s="71" t="str">
        <f ca="1">Calculation!$W$5</f>
        <v>last 21 days</v>
      </c>
      <c r="I2" s="70"/>
      <c r="J2" s="69"/>
      <c r="K2" s="69"/>
      <c r="L2" s="69"/>
      <c r="M2" s="69"/>
    </row>
    <row r="3" spans="1:13" ht="15" thickBot="1" x14ac:dyDescent="0.2">
      <c r="B3" s="68" t="s">
        <v>36</v>
      </c>
      <c r="C3" s="69"/>
      <c r="D3" s="70"/>
      <c r="E3" s="70"/>
      <c r="F3" s="70"/>
      <c r="G3" s="70"/>
      <c r="H3" s="70"/>
      <c r="I3" s="70"/>
      <c r="J3" s="69"/>
      <c r="K3" s="69"/>
      <c r="L3" s="69"/>
      <c r="M3" s="69"/>
    </row>
    <row r="4" spans="1:13" x14ac:dyDescent="0.15">
      <c r="A4" t="s">
        <v>104</v>
      </c>
      <c r="B4" s="72" t="s">
        <v>18</v>
      </c>
      <c r="C4" s="72" t="s">
        <v>9</v>
      </c>
      <c r="D4" s="70"/>
      <c r="E4" s="70"/>
      <c r="F4" s="70"/>
      <c r="G4" s="70"/>
      <c r="H4" s="70"/>
      <c r="I4" s="70"/>
      <c r="J4" s="69"/>
      <c r="K4" s="69"/>
      <c r="L4" s="69"/>
      <c r="M4" s="69"/>
    </row>
    <row r="5" spans="1:13" x14ac:dyDescent="0.15">
      <c r="A5" s="81">
        <v>1</v>
      </c>
      <c r="B5" s="73" t="str">
        <f>Calculation!B4</f>
        <v>Kalas-Dhanori</v>
      </c>
      <c r="C5" s="74">
        <f ca="1">Calculation!D4</f>
        <v>0</v>
      </c>
      <c r="D5" s="75" t="s">
        <v>51</v>
      </c>
      <c r="E5" s="75" t="str">
        <f>DataEntry!J4</f>
        <v>India</v>
      </c>
      <c r="F5" s="70"/>
      <c r="G5" s="70"/>
      <c r="H5" s="70"/>
      <c r="I5" s="70"/>
      <c r="J5" s="69"/>
      <c r="K5" s="69"/>
      <c r="L5" s="69"/>
      <c r="M5" s="69"/>
    </row>
    <row r="6" spans="1:13" x14ac:dyDescent="0.15">
      <c r="A6" s="81">
        <v>2</v>
      </c>
      <c r="B6" s="73" t="str">
        <f>Calculation!B5</f>
        <v>Phule Nagar- Nagpur Chawl</v>
      </c>
      <c r="C6" s="74">
        <f ca="1">Calculation!D5</f>
        <v>0</v>
      </c>
      <c r="D6" s="75" t="s">
        <v>54</v>
      </c>
      <c r="E6" s="75" t="str">
        <f>DataEntry!J5</f>
        <v>Pune</v>
      </c>
      <c r="F6" s="70"/>
      <c r="G6" s="70"/>
      <c r="H6" s="70"/>
      <c r="I6" s="70"/>
      <c r="J6" s="69"/>
      <c r="K6" s="69"/>
      <c r="L6" s="69"/>
      <c r="M6" s="69"/>
    </row>
    <row r="7" spans="1:13" x14ac:dyDescent="0.15">
      <c r="A7" s="81">
        <v>3</v>
      </c>
      <c r="B7" s="73" t="str">
        <f>Calculation!B6</f>
        <v>Viman Nagar- Somnath Nagar</v>
      </c>
      <c r="C7" s="74">
        <f ca="1">Calculation!D6</f>
        <v>0</v>
      </c>
      <c r="D7" s="75" t="s">
        <v>38</v>
      </c>
      <c r="E7" s="76">
        <f ca="1">TODAY()</f>
        <v>43688</v>
      </c>
      <c r="F7" s="70"/>
      <c r="G7" s="70"/>
      <c r="H7" s="70"/>
      <c r="I7" s="70"/>
      <c r="J7" s="69"/>
      <c r="K7" s="69"/>
      <c r="L7" s="69"/>
      <c r="M7" s="69"/>
    </row>
    <row r="8" spans="1:13" x14ac:dyDescent="0.15">
      <c r="A8" s="81">
        <v>4</v>
      </c>
      <c r="B8" s="73" t="str">
        <f>Calculation!B7</f>
        <v>Kharadi-Chandan Nagar</v>
      </c>
      <c r="C8" s="74">
        <f ca="1">Calculation!D7</f>
        <v>0</v>
      </c>
      <c r="D8" s="70"/>
      <c r="E8" s="70"/>
      <c r="F8" s="70"/>
      <c r="G8" s="70"/>
      <c r="H8" s="70"/>
      <c r="I8" s="70"/>
      <c r="J8" s="69"/>
      <c r="K8" s="69"/>
      <c r="L8" s="69"/>
      <c r="M8" s="69"/>
    </row>
    <row r="9" spans="1:13" x14ac:dyDescent="0.15">
      <c r="A9" s="81">
        <v>5</v>
      </c>
      <c r="B9" s="73" t="str">
        <f>Calculation!B8</f>
        <v>Vadgaon Sheri- Kalyani Nagar</v>
      </c>
      <c r="C9" s="74">
        <f ca="1">Calculation!D8</f>
        <v>0</v>
      </c>
      <c r="D9" s="70"/>
      <c r="E9" s="70"/>
      <c r="F9" s="70"/>
      <c r="G9" s="70"/>
      <c r="H9" s="70"/>
      <c r="I9" s="70"/>
      <c r="J9" s="69"/>
      <c r="K9" s="69"/>
      <c r="L9" s="69"/>
      <c r="M9" s="69"/>
    </row>
    <row r="10" spans="1:13" x14ac:dyDescent="0.15">
      <c r="A10" s="81">
        <v>6</v>
      </c>
      <c r="B10" s="73" t="str">
        <f>Calculation!B9</f>
        <v>Yerwada</v>
      </c>
      <c r="C10" s="74">
        <f ca="1">Calculation!D9</f>
        <v>3</v>
      </c>
      <c r="D10" s="70"/>
      <c r="E10" s="70"/>
      <c r="F10" s="70"/>
      <c r="G10" s="70"/>
      <c r="H10" s="70"/>
      <c r="I10" s="70"/>
      <c r="J10" s="69"/>
      <c r="K10" s="69"/>
      <c r="L10" s="69"/>
      <c r="M10" s="69"/>
    </row>
    <row r="11" spans="1:13" x14ac:dyDescent="0.15">
      <c r="A11" s="81">
        <v>7</v>
      </c>
      <c r="B11" s="73" t="str">
        <f>Calculation!B10</f>
        <v>Pune University- Wakadewadi</v>
      </c>
      <c r="C11" s="74">
        <f ca="1">Calculation!D10</f>
        <v>0</v>
      </c>
      <c r="D11" s="70"/>
      <c r="E11" s="70"/>
      <c r="F11" s="70"/>
      <c r="G11" s="70"/>
      <c r="H11" s="70"/>
      <c r="I11" s="70"/>
      <c r="J11" s="69"/>
      <c r="K11" s="69"/>
      <c r="L11" s="69"/>
      <c r="M11" s="69"/>
    </row>
    <row r="12" spans="1:13" x14ac:dyDescent="0.15">
      <c r="A12" s="81">
        <v>8</v>
      </c>
      <c r="B12" s="73" t="str">
        <f>Calculation!B11</f>
        <v>Aundh- Bopodi</v>
      </c>
      <c r="C12" s="74">
        <f ca="1">Calculation!D11</f>
        <v>0</v>
      </c>
      <c r="D12" s="70"/>
      <c r="E12" s="70"/>
      <c r="F12" s="70"/>
      <c r="G12" s="70"/>
      <c r="H12" s="70"/>
      <c r="I12" s="70"/>
      <c r="J12" s="69"/>
      <c r="K12" s="69"/>
      <c r="L12" s="69"/>
      <c r="M12" s="69"/>
    </row>
    <row r="13" spans="1:13" x14ac:dyDescent="0.15">
      <c r="A13" s="81">
        <v>9</v>
      </c>
      <c r="B13" s="73" t="str">
        <f>Calculation!B12</f>
        <v>Baner- Balewadi- Pashan</v>
      </c>
      <c r="C13" s="74">
        <f ca="1">Calculation!D12</f>
        <v>0</v>
      </c>
      <c r="D13" s="70"/>
      <c r="E13" s="70"/>
      <c r="F13" s="70"/>
      <c r="G13" s="70"/>
      <c r="H13" s="70"/>
      <c r="I13" s="70"/>
      <c r="J13" s="69"/>
      <c r="K13" s="69"/>
      <c r="L13" s="69"/>
      <c r="M13" s="69"/>
    </row>
    <row r="14" spans="1:13" x14ac:dyDescent="0.15">
      <c r="A14" s="81">
        <v>10</v>
      </c>
      <c r="B14" s="73" t="str">
        <f>Calculation!B13</f>
        <v>Bavdhan- Kothrud Depot</v>
      </c>
      <c r="C14" s="74">
        <f ca="1">Calculation!D13</f>
        <v>0</v>
      </c>
      <c r="D14" s="70"/>
      <c r="E14" s="70"/>
      <c r="F14" s="70"/>
      <c r="G14" s="70"/>
      <c r="H14" s="70"/>
      <c r="I14" s="70"/>
      <c r="J14" s="69"/>
      <c r="K14" s="69"/>
      <c r="L14" s="69"/>
      <c r="M14" s="69"/>
    </row>
    <row r="15" spans="1:13" x14ac:dyDescent="0.15">
      <c r="A15" s="81">
        <v>11</v>
      </c>
      <c r="B15" s="73" t="str">
        <f>Calculation!B14</f>
        <v>Rambaug Colony- Shivtirth Nagar</v>
      </c>
      <c r="C15" s="74">
        <f ca="1">Calculation!D14</f>
        <v>0</v>
      </c>
      <c r="D15" s="70"/>
      <c r="E15" s="70"/>
      <c r="F15" s="70"/>
      <c r="G15" s="70"/>
      <c r="H15" s="70"/>
      <c r="I15" s="70"/>
      <c r="J15" s="69"/>
      <c r="K15" s="69"/>
      <c r="L15" s="69"/>
      <c r="M15" s="69"/>
    </row>
    <row r="16" spans="1:13" x14ac:dyDescent="0.15">
      <c r="A16" s="81">
        <v>12</v>
      </c>
      <c r="B16" s="73" t="str">
        <f>Calculation!B15</f>
        <v>Mayur Colony- Dahanukar Colony</v>
      </c>
      <c r="C16" s="74">
        <f ca="1">Calculation!D15</f>
        <v>1</v>
      </c>
      <c r="D16" s="70"/>
      <c r="E16" s="70"/>
      <c r="F16" s="70"/>
      <c r="G16" s="70"/>
      <c r="H16" s="70"/>
      <c r="I16" s="70"/>
      <c r="J16" s="69"/>
      <c r="K16" s="69"/>
      <c r="L16" s="69"/>
      <c r="M16" s="69"/>
    </row>
    <row r="17" spans="1:13" x14ac:dyDescent="0.15">
      <c r="A17" s="81">
        <v>13</v>
      </c>
      <c r="B17" s="73" t="str">
        <f>Calculation!B16</f>
        <v>Erandwana- Happy Colony</v>
      </c>
      <c r="C17" s="74">
        <f ca="1">Calculation!D16</f>
        <v>0</v>
      </c>
      <c r="D17" s="70"/>
      <c r="E17" s="70"/>
      <c r="F17" s="70"/>
      <c r="G17" s="70"/>
      <c r="H17" s="70"/>
      <c r="I17" s="70"/>
      <c r="J17" s="69"/>
      <c r="K17" s="69"/>
      <c r="L17" s="69"/>
      <c r="M17" s="69"/>
    </row>
    <row r="18" spans="1:13" x14ac:dyDescent="0.15">
      <c r="A18" s="81">
        <v>14</v>
      </c>
      <c r="B18" s="73" t="str">
        <f>Calculation!B17</f>
        <v>Deccan Gymkhana- Model Colony</v>
      </c>
      <c r="C18" s="74">
        <f ca="1">Calculation!D17</f>
        <v>0</v>
      </c>
      <c r="D18" s="70"/>
      <c r="E18" s="70"/>
      <c r="F18" s="70"/>
      <c r="G18" s="70"/>
      <c r="H18" s="70"/>
      <c r="I18" s="70"/>
      <c r="J18" s="69"/>
      <c r="K18" s="69"/>
      <c r="L18" s="69"/>
      <c r="M18" s="69"/>
    </row>
    <row r="19" spans="1:13" x14ac:dyDescent="0.15">
      <c r="A19" s="81">
        <v>15</v>
      </c>
      <c r="B19" s="73" t="str">
        <f>Calculation!B18</f>
        <v>Shanivar Peth- Sadashiv Peth</v>
      </c>
      <c r="C19" s="74">
        <f ca="1">Calculation!D18</f>
        <v>0</v>
      </c>
      <c r="D19" s="70"/>
      <c r="E19" s="70"/>
      <c r="F19" s="70"/>
      <c r="G19" s="70"/>
      <c r="H19" s="70"/>
      <c r="I19" s="70"/>
      <c r="J19" s="69"/>
      <c r="K19" s="69"/>
      <c r="L19" s="69"/>
      <c r="M19" s="69"/>
    </row>
    <row r="20" spans="1:13" x14ac:dyDescent="0.15">
      <c r="A20" s="81">
        <v>16</v>
      </c>
      <c r="B20" s="73" t="str">
        <f>Calculation!B19</f>
        <v>Kasba Peth- Somwar Peth</v>
      </c>
      <c r="C20" s="74">
        <f ca="1">Calculation!D19</f>
        <v>1</v>
      </c>
      <c r="D20" s="70"/>
      <c r="E20" s="70"/>
      <c r="F20" s="70"/>
      <c r="G20" s="70"/>
      <c r="H20" s="70"/>
      <c r="I20" s="70"/>
      <c r="J20" s="69"/>
      <c r="K20" s="69"/>
      <c r="L20" s="69"/>
      <c r="M20" s="69"/>
    </row>
    <row r="21" spans="1:13" x14ac:dyDescent="0.15">
      <c r="A21" s="81">
        <v>17</v>
      </c>
      <c r="B21" s="73" t="str">
        <f>Calculation!B20</f>
        <v>Rasta Peth- Ravivar Peth</v>
      </c>
      <c r="C21" s="74">
        <f ca="1">Calculation!D20</f>
        <v>1</v>
      </c>
      <c r="D21" s="70"/>
      <c r="E21" s="70"/>
      <c r="F21" s="70"/>
      <c r="G21" s="70"/>
      <c r="H21" s="70"/>
      <c r="I21" s="70"/>
      <c r="J21" s="69"/>
      <c r="K21" s="69"/>
      <c r="L21" s="69"/>
      <c r="M21" s="69"/>
    </row>
    <row r="22" spans="1:13" x14ac:dyDescent="0.15">
      <c r="A22" s="81">
        <v>18</v>
      </c>
      <c r="B22" s="73" t="str">
        <f>Calculation!B21</f>
        <v>Kahdakmal Aali- Mahatma Phule Peth</v>
      </c>
      <c r="C22" s="74">
        <f ca="1">Calculation!D21</f>
        <v>0</v>
      </c>
      <c r="D22" s="70"/>
      <c r="E22" s="70"/>
      <c r="F22" s="70"/>
      <c r="G22" s="70"/>
      <c r="H22" s="70"/>
      <c r="I22" s="70"/>
      <c r="J22" s="69"/>
      <c r="K22" s="69"/>
      <c r="L22" s="69"/>
      <c r="M22" s="69"/>
    </row>
    <row r="23" spans="1:13" x14ac:dyDescent="0.15">
      <c r="A23" s="81">
        <v>19</v>
      </c>
      <c r="B23" s="73" t="str">
        <f>Calculation!B22</f>
        <v>Lohiya Nagar- Kasewadi</v>
      </c>
      <c r="C23" s="74">
        <f ca="1">Calculation!D22</f>
        <v>0</v>
      </c>
      <c r="D23" s="70"/>
      <c r="E23" s="70"/>
      <c r="F23" s="70"/>
      <c r="G23" s="70"/>
      <c r="H23" s="70"/>
      <c r="I23" s="70"/>
      <c r="J23" s="69"/>
      <c r="K23" s="69"/>
      <c r="L23" s="69"/>
      <c r="M23" s="69"/>
    </row>
    <row r="24" spans="1:13" x14ac:dyDescent="0.15">
      <c r="A24" s="81">
        <v>20</v>
      </c>
      <c r="B24" s="73" t="str">
        <f>Calculation!B23</f>
        <v>Tadiwala Road- Sasoon Hospital</v>
      </c>
      <c r="C24" s="74">
        <f ca="1">Calculation!D23</f>
        <v>0</v>
      </c>
      <c r="D24" s="70"/>
      <c r="E24" s="70"/>
      <c r="F24" s="70"/>
      <c r="G24" s="70"/>
      <c r="H24" s="70"/>
      <c r="I24" s="70"/>
      <c r="J24" s="69"/>
      <c r="K24" s="69"/>
      <c r="L24" s="69"/>
      <c r="M24" s="69"/>
    </row>
    <row r="25" spans="1:13" x14ac:dyDescent="0.15">
      <c r="A25" s="81">
        <v>21</v>
      </c>
      <c r="B25" s="73" t="str">
        <f>Calculation!B24</f>
        <v>Koregaon Park- Ghorpadi</v>
      </c>
      <c r="C25" s="74">
        <f ca="1">Calculation!D24</f>
        <v>0</v>
      </c>
      <c r="D25" s="70"/>
      <c r="E25" s="70"/>
      <c r="F25" s="70"/>
      <c r="G25" s="70"/>
      <c r="H25" s="70"/>
      <c r="I25" s="70"/>
      <c r="J25" s="69"/>
      <c r="K25" s="69"/>
      <c r="L25" s="69"/>
      <c r="M25" s="69"/>
    </row>
    <row r="26" spans="1:13" x14ac:dyDescent="0.15">
      <c r="A26" s="81">
        <v>22</v>
      </c>
      <c r="B26" s="73" t="str">
        <f>Calculation!B25</f>
        <v>Mundhwa- Magarpatta City</v>
      </c>
      <c r="C26" s="74">
        <f ca="1">Calculation!D25</f>
        <v>0</v>
      </c>
      <c r="D26" s="70"/>
      <c r="E26" s="70"/>
      <c r="F26" s="70"/>
      <c r="G26" s="70"/>
      <c r="H26" s="70"/>
      <c r="I26" s="70"/>
      <c r="J26" s="69"/>
      <c r="K26" s="69"/>
      <c r="L26" s="69"/>
      <c r="M26" s="69"/>
    </row>
    <row r="27" spans="1:13" x14ac:dyDescent="0.15">
      <c r="A27" s="81">
        <v>23</v>
      </c>
      <c r="B27" s="73" t="str">
        <f>Calculation!B26</f>
        <v>Hadapsar Gaothan- Satavwadi</v>
      </c>
      <c r="C27" s="74">
        <f ca="1">Calculation!D26</f>
        <v>0</v>
      </c>
      <c r="D27" s="70"/>
      <c r="E27" s="70"/>
      <c r="F27" s="70"/>
      <c r="G27" s="70"/>
      <c r="H27" s="70"/>
      <c r="I27" s="70"/>
      <c r="J27" s="69"/>
      <c r="K27" s="69"/>
      <c r="L27" s="69"/>
      <c r="M27" s="69"/>
    </row>
    <row r="28" spans="1:13" x14ac:dyDescent="0.15">
      <c r="A28" s="81">
        <v>24</v>
      </c>
      <c r="B28" s="73" t="str">
        <f>Calculation!B27</f>
        <v>Ramtekadi- Sayyad Nagar</v>
      </c>
      <c r="C28" s="74">
        <f ca="1">Calculation!D27</f>
        <v>0</v>
      </c>
      <c r="D28" s="70"/>
      <c r="E28" s="70"/>
      <c r="F28" s="70"/>
      <c r="G28" s="70"/>
      <c r="H28" s="70"/>
      <c r="I28" s="70"/>
      <c r="J28" s="69"/>
      <c r="K28" s="69"/>
      <c r="L28" s="69"/>
      <c r="M28" s="69"/>
    </row>
    <row r="29" spans="1:13" x14ac:dyDescent="0.15">
      <c r="A29" s="81">
        <v>25</v>
      </c>
      <c r="B29" s="73" t="str">
        <f>Calculation!B28</f>
        <v>Vanwadi</v>
      </c>
      <c r="C29" s="74">
        <f ca="1">Calculation!D28</f>
        <v>0</v>
      </c>
      <c r="D29" s="70"/>
      <c r="E29" s="70"/>
      <c r="F29" s="70"/>
      <c r="G29" s="70"/>
      <c r="H29" s="70"/>
      <c r="I29" s="70"/>
      <c r="J29" s="69"/>
      <c r="K29" s="69"/>
      <c r="L29" s="69"/>
      <c r="M29" s="69"/>
    </row>
    <row r="30" spans="1:13" x14ac:dyDescent="0.15">
      <c r="A30" s="81">
        <v>26</v>
      </c>
      <c r="B30" s="73" t="str">
        <f>Calculation!B29</f>
        <v>Mahammadwadi- Kausar Baug</v>
      </c>
      <c r="C30" s="74">
        <f ca="1">Calculation!D29</f>
        <v>2</v>
      </c>
      <c r="D30" s="70"/>
      <c r="E30" s="70"/>
      <c r="F30" s="70"/>
      <c r="G30" s="70"/>
      <c r="H30" s="70"/>
      <c r="I30" s="70"/>
      <c r="J30" s="69"/>
      <c r="K30" s="69"/>
      <c r="L30" s="69"/>
      <c r="M30" s="69"/>
    </row>
    <row r="31" spans="1:13" x14ac:dyDescent="0.15">
      <c r="A31" s="81">
        <v>27</v>
      </c>
      <c r="B31" s="73" t="str">
        <f>Calculation!B30</f>
        <v>Kondhwa Khurd- Meetha Nagar</v>
      </c>
      <c r="C31" s="74">
        <f ca="1">Calculation!D30</f>
        <v>0</v>
      </c>
      <c r="D31" s="70"/>
      <c r="E31" s="70"/>
      <c r="F31" s="70"/>
      <c r="G31" s="70"/>
      <c r="H31" s="70"/>
      <c r="I31" s="70"/>
      <c r="J31" s="69"/>
      <c r="K31" s="69"/>
      <c r="L31" s="69"/>
      <c r="M31" s="69"/>
    </row>
    <row r="32" spans="1:13" x14ac:dyDescent="0.15">
      <c r="A32" s="81">
        <v>28</v>
      </c>
      <c r="B32" s="73" t="str">
        <f>Calculation!B31</f>
        <v>Salisbury Park- Maharshi Nagar</v>
      </c>
      <c r="C32" s="74">
        <f ca="1">Calculation!D31</f>
        <v>0</v>
      </c>
      <c r="D32" s="70"/>
      <c r="E32" s="70"/>
      <c r="F32" s="70"/>
      <c r="G32" s="70"/>
      <c r="H32" s="70"/>
      <c r="I32" s="70"/>
      <c r="J32" s="69"/>
      <c r="K32" s="69"/>
      <c r="L32" s="69"/>
      <c r="M32" s="69"/>
    </row>
    <row r="33" spans="1:13" x14ac:dyDescent="0.15">
      <c r="A33" s="81">
        <v>29</v>
      </c>
      <c r="B33" s="73" t="str">
        <f>Calculation!B32</f>
        <v>Navi Peth- Parvati</v>
      </c>
      <c r="C33" s="74">
        <f ca="1">Calculation!D32</f>
        <v>0</v>
      </c>
      <c r="D33" s="70"/>
      <c r="E33" s="70"/>
      <c r="F33" s="70"/>
      <c r="G33" s="70"/>
      <c r="H33" s="70"/>
      <c r="I33" s="70"/>
      <c r="J33" s="69"/>
      <c r="K33" s="69"/>
      <c r="L33" s="69"/>
      <c r="M33" s="69"/>
    </row>
    <row r="34" spans="1:13" x14ac:dyDescent="0.15">
      <c r="A34" s="81">
        <v>30</v>
      </c>
      <c r="B34" s="73" t="str">
        <f>Calculation!B33</f>
        <v>Janata Vasahat- Dattawadi</v>
      </c>
      <c r="C34" s="74">
        <f ca="1">Calculation!D33</f>
        <v>0</v>
      </c>
      <c r="D34" s="70"/>
      <c r="E34" s="70"/>
      <c r="F34" s="70"/>
      <c r="G34" s="70"/>
      <c r="H34" s="70"/>
      <c r="I34" s="70"/>
      <c r="J34" s="69"/>
      <c r="K34" s="69"/>
      <c r="L34" s="69"/>
      <c r="M34" s="69"/>
    </row>
    <row r="35" spans="1:13" x14ac:dyDescent="0.15">
      <c r="A35" s="81">
        <v>31</v>
      </c>
      <c r="B35" s="73" t="str">
        <f>Calculation!B34</f>
        <v>Karve Nagar</v>
      </c>
      <c r="C35" s="74">
        <f ca="1">Calculation!D34</f>
        <v>0</v>
      </c>
      <c r="D35" s="70"/>
      <c r="E35" s="70"/>
      <c r="F35" s="70"/>
      <c r="G35" s="70"/>
      <c r="H35" s="70"/>
      <c r="I35" s="70"/>
      <c r="J35" s="69"/>
      <c r="K35" s="69"/>
      <c r="L35" s="69"/>
      <c r="M35" s="69"/>
    </row>
    <row r="36" spans="1:13" x14ac:dyDescent="0.15">
      <c r="A36" s="81">
        <v>32</v>
      </c>
      <c r="B36" s="73" t="str">
        <f>Calculation!B35</f>
        <v>Warje-Malwadi</v>
      </c>
      <c r="C36" s="74">
        <f ca="1">Calculation!D35</f>
        <v>0</v>
      </c>
      <c r="D36" s="70"/>
      <c r="E36" s="70"/>
      <c r="F36" s="70"/>
      <c r="G36" s="70"/>
      <c r="H36" s="70"/>
      <c r="I36" s="70"/>
      <c r="J36" s="69"/>
      <c r="K36" s="69"/>
      <c r="L36" s="69"/>
      <c r="M36" s="69"/>
    </row>
    <row r="37" spans="1:13" x14ac:dyDescent="0.15">
      <c r="A37" s="81">
        <v>33</v>
      </c>
      <c r="B37" s="73" t="str">
        <f>Calculation!B36</f>
        <v>Vadgaon Dhayari- Vadgaon Budruk</v>
      </c>
      <c r="C37" s="74">
        <f ca="1">Calculation!D36</f>
        <v>0</v>
      </c>
      <c r="D37" s="70"/>
      <c r="E37" s="70"/>
      <c r="F37" s="70"/>
      <c r="G37" s="70"/>
      <c r="H37" s="70"/>
      <c r="I37" s="70"/>
      <c r="J37" s="69"/>
      <c r="K37" s="69"/>
      <c r="L37" s="69"/>
      <c r="M37" s="69"/>
    </row>
    <row r="38" spans="1:13" x14ac:dyDescent="0.15">
      <c r="A38" s="81">
        <v>34</v>
      </c>
      <c r="B38" s="73" t="str">
        <f>Calculation!B37</f>
        <v>Suncity- Hingane Khurd</v>
      </c>
      <c r="C38" s="74">
        <f ca="1">Calculation!D37</f>
        <v>0</v>
      </c>
      <c r="D38" s="70"/>
      <c r="E38" s="70"/>
      <c r="F38" s="70"/>
      <c r="G38" s="70"/>
      <c r="H38" s="70"/>
      <c r="I38" s="70"/>
      <c r="J38" s="69"/>
      <c r="K38" s="69"/>
      <c r="L38" s="69"/>
      <c r="M38" s="69"/>
    </row>
    <row r="39" spans="1:13" x14ac:dyDescent="0.15">
      <c r="A39" s="81">
        <v>35</v>
      </c>
      <c r="B39" s="73" t="str">
        <f>Calculation!B38</f>
        <v>Sahakar Nagar- Padmavati</v>
      </c>
      <c r="C39" s="74">
        <f ca="1">Calculation!D38</f>
        <v>0</v>
      </c>
      <c r="D39" s="70"/>
      <c r="E39" s="70"/>
      <c r="F39" s="70"/>
      <c r="G39" s="70"/>
      <c r="H39" s="70"/>
      <c r="I39" s="70"/>
      <c r="J39" s="69"/>
      <c r="K39" s="69"/>
      <c r="L39" s="69"/>
      <c r="M39" s="69"/>
    </row>
    <row r="40" spans="1:13" x14ac:dyDescent="0.15">
      <c r="A40" s="81">
        <v>36</v>
      </c>
      <c r="B40" s="73" t="str">
        <f>Calculation!B39</f>
        <v>Market Yard- Lower Indira Nagar</v>
      </c>
      <c r="C40" s="74">
        <f ca="1">Calculation!D39</f>
        <v>0</v>
      </c>
      <c r="D40" s="70"/>
      <c r="E40" s="70"/>
      <c r="F40" s="70"/>
      <c r="G40" s="70"/>
      <c r="H40" s="70"/>
      <c r="I40" s="70"/>
      <c r="J40" s="69"/>
      <c r="K40" s="69"/>
      <c r="L40" s="69"/>
      <c r="M40" s="69"/>
    </row>
    <row r="41" spans="1:13" x14ac:dyDescent="0.15">
      <c r="A41" s="81">
        <v>37</v>
      </c>
      <c r="B41" s="73" t="str">
        <f>Calculation!B40</f>
        <v>Uppar Super Indira Nagar</v>
      </c>
      <c r="C41" s="74">
        <f ca="1">Calculation!D40</f>
        <v>1</v>
      </c>
      <c r="D41" s="70"/>
      <c r="E41" s="70"/>
      <c r="F41" s="70"/>
      <c r="G41" s="70"/>
      <c r="H41" s="70"/>
      <c r="I41" s="70"/>
      <c r="J41" s="69"/>
      <c r="K41" s="69"/>
      <c r="L41" s="69"/>
      <c r="M41" s="69"/>
    </row>
    <row r="42" spans="1:13" x14ac:dyDescent="0.15">
      <c r="A42" s="81">
        <v>38</v>
      </c>
      <c r="B42" s="73" t="str">
        <f>Calculation!B41</f>
        <v>Balaji Nagar- Rajiv Gandhi Nagar</v>
      </c>
      <c r="C42" s="74">
        <f ca="1">Calculation!D41</f>
        <v>0</v>
      </c>
      <c r="D42" s="70"/>
      <c r="E42" s="70"/>
      <c r="F42" s="70"/>
      <c r="G42" s="70"/>
      <c r="H42" s="70"/>
      <c r="I42" s="70"/>
      <c r="L42" s="69"/>
      <c r="M42" s="69"/>
    </row>
    <row r="43" spans="1:13" x14ac:dyDescent="0.15">
      <c r="A43" s="81">
        <v>39</v>
      </c>
      <c r="B43" s="73" t="str">
        <f>Calculation!B42</f>
        <v>Dhankawadi- Ambegaon Pathar</v>
      </c>
      <c r="C43" s="74">
        <f ca="1">Calculation!D42</f>
        <v>0</v>
      </c>
      <c r="D43" s="70"/>
      <c r="E43" s="70"/>
      <c r="F43" s="70"/>
      <c r="G43" s="70"/>
      <c r="H43" s="70"/>
      <c r="I43" s="70"/>
      <c r="J43" s="69"/>
      <c r="K43" s="69"/>
      <c r="L43" s="69"/>
      <c r="M43" s="69"/>
    </row>
    <row r="44" spans="1:13" x14ac:dyDescent="0.15">
      <c r="A44" s="81">
        <v>40</v>
      </c>
      <c r="B44" s="73" t="str">
        <f>Calculation!B43</f>
        <v>Ambegaon Datta Nagar- Katraj Gaothan</v>
      </c>
      <c r="C44" s="74">
        <f ca="1">Calculation!D43</f>
        <v>0</v>
      </c>
      <c r="D44" s="70"/>
      <c r="E44" s="70"/>
      <c r="F44" s="70"/>
      <c r="G44" s="70"/>
      <c r="H44" s="70"/>
      <c r="I44" s="70"/>
      <c r="J44" s="69"/>
      <c r="K44" s="69"/>
      <c r="L44" s="69"/>
      <c r="M44" s="69"/>
    </row>
    <row r="45" spans="1:13" x14ac:dyDescent="0.15">
      <c r="A45" s="81">
        <v>41</v>
      </c>
      <c r="B45" s="73" t="str">
        <f>Calculation!B44</f>
        <v>Kondhawa Budruk- Yewalewadi</v>
      </c>
      <c r="C45" s="74">
        <f ca="1">Calculation!D44</f>
        <v>1</v>
      </c>
      <c r="D45" s="70"/>
      <c r="E45" s="70"/>
      <c r="F45" s="70"/>
      <c r="G45" s="70"/>
      <c r="H45" s="70"/>
      <c r="I45" s="70"/>
      <c r="J45" s="75" t="str">
        <f>DataEntry!J6</f>
        <v>Number of seats- Shiv Sena</v>
      </c>
      <c r="K45" s="69"/>
      <c r="L45" s="69"/>
      <c r="M45" s="69"/>
    </row>
    <row r="46" spans="1:13" x14ac:dyDescent="0.15">
      <c r="B46" s="74"/>
      <c r="C46" s="74"/>
      <c r="D46" s="70"/>
      <c r="E46" s="70"/>
      <c r="F46" s="70"/>
      <c r="G46" s="70"/>
      <c r="H46" s="70"/>
      <c r="I46" s="70"/>
      <c r="J46" s="69"/>
      <c r="K46" s="69"/>
      <c r="L46" s="69"/>
      <c r="M46" s="69"/>
    </row>
    <row r="47" spans="1:13" x14ac:dyDescent="0.15">
      <c r="B47" s="74"/>
      <c r="C47" s="74"/>
      <c r="D47" s="75" t="s">
        <v>46</v>
      </c>
      <c r="E47" s="77"/>
      <c r="F47" s="70"/>
      <c r="G47" s="70"/>
      <c r="H47" s="70"/>
      <c r="I47" s="70"/>
      <c r="J47" s="69"/>
      <c r="K47" s="69"/>
      <c r="L47" s="69"/>
      <c r="M47" s="69"/>
    </row>
    <row r="48" spans="1:13" x14ac:dyDescent="0.15">
      <c r="B48" s="74"/>
      <c r="C48" s="74"/>
      <c r="D48" s="76" t="str">
        <f>DataEntry!J7</f>
        <v>9th August 2019</v>
      </c>
      <c r="E48" s="48"/>
      <c r="F48" s="70"/>
      <c r="G48" s="70"/>
      <c r="H48" s="70"/>
      <c r="I48" s="70"/>
      <c r="J48" s="69"/>
      <c r="K48" s="69"/>
      <c r="L48" s="69"/>
      <c r="M48" s="69"/>
    </row>
    <row r="49" spans="2:13" x14ac:dyDescent="0.15">
      <c r="B49" s="74"/>
      <c r="C49" s="74"/>
      <c r="D49" s="75" t="str">
        <f>DataEntry!J10</f>
        <v>Pune Open Data Portal</v>
      </c>
      <c r="E49" s="48"/>
      <c r="F49" s="70"/>
      <c r="G49" s="70"/>
      <c r="H49" s="70"/>
      <c r="I49" s="70"/>
      <c r="J49" s="69"/>
      <c r="K49" s="69"/>
      <c r="L49" s="69"/>
      <c r="M49" s="69"/>
    </row>
    <row r="50" spans="2:13" x14ac:dyDescent="0.15">
      <c r="B50" s="74"/>
      <c r="C50" s="74"/>
      <c r="D50" s="75" t="s">
        <v>57</v>
      </c>
      <c r="E50" s="69"/>
      <c r="F50" s="69"/>
      <c r="G50" s="69"/>
      <c r="H50" s="69"/>
      <c r="I50" s="69"/>
      <c r="J50" s="69"/>
      <c r="K50" s="69"/>
      <c r="L50" s="69"/>
      <c r="M50" s="69"/>
    </row>
    <row r="51" spans="2:13" x14ac:dyDescent="0.15">
      <c r="B51" s="74"/>
      <c r="C51" s="74"/>
      <c r="D51" s="75">
        <f>DataEntry!J8</f>
        <v>0</v>
      </c>
      <c r="E51" s="69"/>
      <c r="F51" s="69"/>
      <c r="G51" s="69"/>
      <c r="H51" s="69"/>
      <c r="I51" s="69"/>
      <c r="J51" s="69"/>
      <c r="K51" s="69"/>
      <c r="L51" s="69"/>
      <c r="M51" s="69"/>
    </row>
    <row r="52" spans="2:13" x14ac:dyDescent="0.15">
      <c r="B52" s="74"/>
      <c r="C52" s="74"/>
      <c r="D52" s="75">
        <f>DataEntry!J9</f>
        <v>0</v>
      </c>
      <c r="E52" s="69"/>
      <c r="F52" s="69"/>
      <c r="G52" s="69"/>
      <c r="H52" s="69"/>
      <c r="I52" s="69"/>
      <c r="J52" s="69"/>
      <c r="K52" s="69"/>
      <c r="L52" s="69"/>
      <c r="M52" s="69"/>
    </row>
    <row r="53" spans="2:13" x14ac:dyDescent="0.15">
      <c r="B53" s="74"/>
      <c r="C53" s="74"/>
      <c r="D53" s="69"/>
      <c r="E53" s="69"/>
      <c r="F53" s="69"/>
      <c r="G53" s="69"/>
      <c r="H53" s="69"/>
      <c r="I53" s="69"/>
      <c r="J53" s="69"/>
      <c r="K53" s="69"/>
      <c r="L53" s="69"/>
      <c r="M53" s="69"/>
    </row>
    <row r="54" spans="2:13" x14ac:dyDescent="0.15">
      <c r="B54" s="74"/>
      <c r="C54" s="74"/>
      <c r="D54" s="69"/>
      <c r="E54" s="69"/>
      <c r="F54" s="69"/>
      <c r="G54" s="69"/>
      <c r="H54" s="69"/>
      <c r="I54" s="69"/>
      <c r="J54" s="69"/>
      <c r="K54" s="69"/>
      <c r="L54" s="69"/>
      <c r="M54" s="69"/>
    </row>
    <row r="55" spans="2:13" x14ac:dyDescent="0.15">
      <c r="B55" s="74"/>
      <c r="C55" s="74"/>
      <c r="D55" s="69"/>
      <c r="E55" s="69"/>
      <c r="F55" s="69"/>
      <c r="G55" s="69"/>
      <c r="H55" s="69"/>
      <c r="I55" s="69"/>
      <c r="J55" s="69"/>
      <c r="K55" s="69"/>
      <c r="L55" s="69"/>
      <c r="M55" s="69"/>
    </row>
    <row r="56" spans="2:13" x14ac:dyDescent="0.15">
      <c r="B56" s="74"/>
      <c r="C56" s="74"/>
      <c r="D56" s="69"/>
      <c r="E56" s="69"/>
      <c r="F56" s="69"/>
      <c r="G56" s="69"/>
      <c r="H56" s="69"/>
      <c r="I56" s="69"/>
      <c r="J56" s="69"/>
      <c r="K56" s="69"/>
      <c r="L56" s="69"/>
      <c r="M56" s="69"/>
    </row>
    <row r="57" spans="2:13" x14ac:dyDescent="0.15">
      <c r="B57" s="74"/>
      <c r="C57" s="74"/>
      <c r="D57" s="69"/>
      <c r="E57" s="69"/>
      <c r="F57" s="69"/>
      <c r="G57" s="69"/>
      <c r="H57" s="69"/>
      <c r="I57" s="69"/>
      <c r="J57" s="69"/>
      <c r="K57" s="69"/>
      <c r="L57" s="69"/>
      <c r="M57" s="69"/>
    </row>
    <row r="58" spans="2:13" x14ac:dyDescent="0.15">
      <c r="B58" s="74"/>
      <c r="C58" s="74"/>
      <c r="D58" s="69"/>
      <c r="E58" s="69"/>
      <c r="F58" s="69"/>
      <c r="G58" s="69"/>
      <c r="H58" s="69"/>
      <c r="I58" s="69"/>
      <c r="J58" s="69"/>
      <c r="K58" s="69"/>
      <c r="L58" s="69"/>
      <c r="M58" s="69"/>
    </row>
    <row r="59" spans="2:13" x14ac:dyDescent="0.15">
      <c r="B59" s="74"/>
      <c r="C59" s="74"/>
      <c r="D59" s="69"/>
      <c r="E59" s="69"/>
      <c r="F59" s="69"/>
      <c r="G59" s="69"/>
      <c r="H59" s="69"/>
      <c r="I59" s="69"/>
      <c r="J59" s="69"/>
      <c r="K59" s="69"/>
      <c r="L59" s="69"/>
      <c r="M59" s="69"/>
    </row>
    <row r="60" spans="2:13" x14ac:dyDescent="0.15">
      <c r="B60" s="74"/>
      <c r="C60" s="74"/>
      <c r="D60" s="69"/>
      <c r="E60" s="69"/>
      <c r="F60" s="69"/>
      <c r="G60" s="69"/>
      <c r="H60" s="69"/>
      <c r="I60" s="69"/>
      <c r="J60" s="69"/>
      <c r="K60" s="69"/>
      <c r="L60" s="69"/>
      <c r="M60" s="69"/>
    </row>
    <row r="61" spans="2:13" x14ac:dyDescent="0.15">
      <c r="B61" s="74"/>
      <c r="C61" s="74"/>
      <c r="D61" s="69"/>
      <c r="E61" s="69"/>
      <c r="F61" s="69"/>
      <c r="G61" s="69"/>
      <c r="H61" s="69"/>
      <c r="I61" s="69"/>
      <c r="J61" s="69"/>
      <c r="K61" s="69"/>
      <c r="L61" s="69"/>
      <c r="M61" s="69"/>
    </row>
    <row r="62" spans="2:13" x14ac:dyDescent="0.15">
      <c r="B62" s="74"/>
      <c r="C62" s="74"/>
      <c r="D62" s="69"/>
      <c r="E62" s="69"/>
      <c r="F62" s="69"/>
      <c r="G62" s="69"/>
      <c r="H62" s="69"/>
      <c r="I62" s="69"/>
      <c r="J62" s="69"/>
      <c r="K62" s="69"/>
      <c r="L62" s="69"/>
      <c r="M62" s="69"/>
    </row>
  </sheetData>
  <pageMargins left="0.23622047244094491" right="0.23622047244094491" top="0.74803149606299213" bottom="0.74803149606299213" header="0.31496062992125984" footer="0.31496062992125984"/>
  <pageSetup paperSize="9" orientation="portrait" r:id="rId1"/>
  <headerFooter>
    <oddHeader>&amp;L&amp;G</oddHeader>
    <oddFooter>&amp;L&amp;4This map is for information purposes only and has no political  significance. The boundaries and names shown and the designations used on this map do not imply official endorsement or acceptance by MSF.&amp;R&amp;G</oddFooter>
  </headerFooter>
  <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0000000}">
          <x14:formula1>
            <xm:f>DataEntry!$D$3:$G$3</xm:f>
          </x14:formula1>
          <xm:sqref>B3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B1:M105"/>
  <sheetViews>
    <sheetView workbookViewId="0">
      <selection activeCell="E4" sqref="E4"/>
    </sheetView>
  </sheetViews>
  <sheetFormatPr baseColWidth="10" defaultColWidth="9" defaultRowHeight="14" zeroHeight="1" x14ac:dyDescent="0.15"/>
  <cols>
    <col min="1" max="1" width="3.5" customWidth="1"/>
    <col min="2" max="2" width="16.33203125" bestFit="1" customWidth="1"/>
    <col min="3" max="3" width="11" bestFit="1" customWidth="1"/>
    <col min="5" max="7" width="11.5" customWidth="1"/>
    <col min="9" max="9" width="9.6640625" bestFit="1" customWidth="1"/>
    <col min="10" max="10" width="29.83203125" customWidth="1"/>
  </cols>
  <sheetData>
    <row r="1" spans="2:13" ht="16" x14ac:dyDescent="0.2">
      <c r="B1" s="55" t="s">
        <v>43</v>
      </c>
      <c r="E1" t="s">
        <v>60</v>
      </c>
    </row>
    <row r="2" spans="2:13" ht="31.5" customHeight="1" thickBot="1" x14ac:dyDescent="0.2">
      <c r="B2" s="2"/>
    </row>
    <row r="3" spans="2:13" ht="15" thickBot="1" x14ac:dyDescent="0.2">
      <c r="B3" s="16" t="s">
        <v>7</v>
      </c>
      <c r="C3" s="16" t="s">
        <v>6</v>
      </c>
      <c r="D3" s="16" t="s">
        <v>49</v>
      </c>
      <c r="E3" s="56" t="s">
        <v>35</v>
      </c>
      <c r="F3" s="56" t="s">
        <v>36</v>
      </c>
      <c r="G3" s="56" t="s">
        <v>50</v>
      </c>
      <c r="I3" s="83" t="s">
        <v>53</v>
      </c>
      <c r="J3" s="84"/>
      <c r="K3" s="52"/>
      <c r="L3" s="52"/>
      <c r="M3" s="52"/>
    </row>
    <row r="4" spans="2:13" x14ac:dyDescent="0.15">
      <c r="B4" s="79" t="s">
        <v>61</v>
      </c>
      <c r="C4" s="80">
        <v>1</v>
      </c>
      <c r="D4" s="86">
        <v>4.7529081856961225E-2</v>
      </c>
      <c r="E4" s="87">
        <v>0.10694043417816275</v>
      </c>
      <c r="F4" s="51"/>
      <c r="G4" s="51"/>
      <c r="I4" s="63" t="s">
        <v>52</v>
      </c>
      <c r="J4" s="65" t="s">
        <v>102</v>
      </c>
      <c r="K4" s="52"/>
      <c r="L4" s="52"/>
      <c r="M4" s="52"/>
    </row>
    <row r="5" spans="2:13" x14ac:dyDescent="0.15">
      <c r="B5" s="79" t="s">
        <v>62</v>
      </c>
      <c r="C5" s="80">
        <v>2</v>
      </c>
      <c r="D5" s="86">
        <v>2.3620838303551391E-2</v>
      </c>
      <c r="E5" s="87">
        <v>0.25982922133906533</v>
      </c>
      <c r="F5" s="51"/>
      <c r="G5" s="51"/>
      <c r="I5" s="53" t="s">
        <v>54</v>
      </c>
      <c r="J5" s="66" t="s">
        <v>103</v>
      </c>
      <c r="K5" s="52"/>
      <c r="L5" s="52"/>
      <c r="M5" s="52"/>
    </row>
    <row r="6" spans="2:13" x14ac:dyDescent="0.15">
      <c r="B6" s="79" t="s">
        <v>63</v>
      </c>
      <c r="C6" s="80">
        <v>3</v>
      </c>
      <c r="D6" s="86">
        <v>1.2106390963789784E-2</v>
      </c>
      <c r="E6" s="87">
        <v>3.6319172891369357E-2</v>
      </c>
      <c r="F6" s="51"/>
      <c r="G6" s="51"/>
      <c r="I6" s="53" t="s">
        <v>55</v>
      </c>
      <c r="J6" s="66" t="s">
        <v>127</v>
      </c>
      <c r="K6" s="52"/>
      <c r="L6" s="52"/>
      <c r="M6" s="52"/>
    </row>
    <row r="7" spans="2:13" x14ac:dyDescent="0.15">
      <c r="B7" s="79" t="s">
        <v>64</v>
      </c>
      <c r="C7" s="80">
        <v>4</v>
      </c>
      <c r="D7" s="86">
        <v>3.641616392129253E-2</v>
      </c>
      <c r="E7" s="87">
        <v>0</v>
      </c>
      <c r="F7" s="51"/>
      <c r="G7" s="51"/>
      <c r="I7" s="53" t="s">
        <v>44</v>
      </c>
      <c r="J7" s="78" t="s">
        <v>126</v>
      </c>
      <c r="K7" s="57"/>
      <c r="L7" s="57"/>
      <c r="M7" s="57"/>
    </row>
    <row r="8" spans="2:13" x14ac:dyDescent="0.15">
      <c r="B8" s="79" t="s">
        <v>65</v>
      </c>
      <c r="C8" s="80">
        <v>5</v>
      </c>
      <c r="D8" s="86">
        <v>8.9629828807026968E-2</v>
      </c>
      <c r="E8" s="87">
        <v>0</v>
      </c>
      <c r="F8" s="51"/>
      <c r="G8" s="51"/>
      <c r="I8" s="53" t="s">
        <v>58</v>
      </c>
      <c r="J8" s="66"/>
      <c r="K8" s="57"/>
      <c r="L8" s="57"/>
      <c r="M8" s="57"/>
    </row>
    <row r="9" spans="2:13" x14ac:dyDescent="0.15">
      <c r="B9" s="79" t="s">
        <v>66</v>
      </c>
      <c r="C9" s="80">
        <v>6</v>
      </c>
      <c r="D9" s="86">
        <v>8.2403352639261671E-2</v>
      </c>
      <c r="E9" s="87">
        <v>0.47087630079578097</v>
      </c>
      <c r="F9" s="51">
        <v>3</v>
      </c>
      <c r="G9" s="51"/>
      <c r="I9" s="53" t="s">
        <v>59</v>
      </c>
      <c r="J9" s="66"/>
      <c r="K9" s="57"/>
      <c r="L9" s="57"/>
      <c r="M9" s="57"/>
    </row>
    <row r="10" spans="2:13" ht="15" thickBot="1" x14ac:dyDescent="0.2">
      <c r="B10" s="79" t="s">
        <v>67</v>
      </c>
      <c r="C10" s="80">
        <v>7</v>
      </c>
      <c r="D10" s="86">
        <v>0.17655782857411897</v>
      </c>
      <c r="E10" s="87">
        <v>0.42373878857788555</v>
      </c>
      <c r="F10" s="51"/>
      <c r="G10" s="51"/>
      <c r="I10" s="54" t="s">
        <v>45</v>
      </c>
      <c r="J10" s="64" t="s">
        <v>125</v>
      </c>
      <c r="K10" s="57"/>
      <c r="L10" s="57"/>
      <c r="M10" s="57"/>
    </row>
    <row r="11" spans="2:13" x14ac:dyDescent="0.15">
      <c r="B11" s="79" t="s">
        <v>68</v>
      </c>
      <c r="C11" s="80">
        <v>8</v>
      </c>
      <c r="D11" s="86">
        <v>3.5416199369591651E-2</v>
      </c>
      <c r="E11" s="87">
        <v>0.2951349947465971</v>
      </c>
      <c r="F11" s="51"/>
      <c r="G11" s="51"/>
      <c r="I11" s="57"/>
      <c r="J11" s="57"/>
      <c r="K11" s="57"/>
      <c r="L11" s="57"/>
      <c r="M11" s="57"/>
    </row>
    <row r="12" spans="2:13" x14ac:dyDescent="0.15">
      <c r="B12" s="79" t="s">
        <v>69</v>
      </c>
      <c r="C12" s="80">
        <v>9</v>
      </c>
      <c r="D12" s="86">
        <v>0</v>
      </c>
      <c r="E12" s="87">
        <v>4.7211566833874299E-2</v>
      </c>
      <c r="F12" s="51"/>
      <c r="G12" s="51"/>
      <c r="I12" s="57"/>
      <c r="J12" s="57"/>
      <c r="K12" s="57"/>
      <c r="L12" s="57"/>
      <c r="M12" s="57"/>
    </row>
    <row r="13" spans="2:13" x14ac:dyDescent="0.15">
      <c r="B13" s="79" t="s">
        <v>70</v>
      </c>
      <c r="C13" s="80">
        <v>10</v>
      </c>
      <c r="D13" s="86">
        <v>4.796220578184391E-2</v>
      </c>
      <c r="E13" s="87">
        <v>0.14388661734553171</v>
      </c>
      <c r="F13" s="51"/>
      <c r="G13" s="51"/>
      <c r="I13" s="57"/>
      <c r="J13" s="57"/>
      <c r="K13" s="57"/>
      <c r="L13" s="57"/>
      <c r="M13" s="57"/>
    </row>
    <row r="14" spans="2:13" x14ac:dyDescent="0.15">
      <c r="B14" s="79" t="s">
        <v>71</v>
      </c>
      <c r="C14" s="80">
        <v>11</v>
      </c>
      <c r="D14" s="86">
        <v>5.1262991964526008E-2</v>
      </c>
      <c r="E14" s="87">
        <v>0.46136692768073412</v>
      </c>
      <c r="F14" s="51"/>
      <c r="G14" s="51"/>
      <c r="I14" s="57"/>
      <c r="J14" s="57"/>
      <c r="K14" s="57"/>
      <c r="L14" s="57"/>
      <c r="M14" s="57"/>
    </row>
    <row r="15" spans="2:13" x14ac:dyDescent="0.15">
      <c r="B15" s="79" t="s">
        <v>72</v>
      </c>
      <c r="C15" s="80">
        <v>12</v>
      </c>
      <c r="D15" s="86">
        <v>1.3301763813881722E-2</v>
      </c>
      <c r="E15" s="87">
        <v>0.1330176381388172</v>
      </c>
      <c r="F15" s="51">
        <v>1</v>
      </c>
      <c r="G15" s="51"/>
      <c r="I15" s="57"/>
      <c r="J15" s="57"/>
      <c r="K15" s="57"/>
      <c r="L15" s="57"/>
      <c r="M15" s="57"/>
    </row>
    <row r="16" spans="2:13" x14ac:dyDescent="0.15">
      <c r="B16" s="79" t="s">
        <v>73</v>
      </c>
      <c r="C16" s="80">
        <v>13</v>
      </c>
      <c r="D16" s="86">
        <v>4.3023089057794346E-2</v>
      </c>
      <c r="E16" s="87">
        <v>0.34418471246235477</v>
      </c>
      <c r="F16" s="51"/>
      <c r="G16" s="51"/>
      <c r="I16" s="57"/>
      <c r="J16" s="57"/>
      <c r="K16" s="57"/>
      <c r="L16" s="57"/>
      <c r="M16" s="57"/>
    </row>
    <row r="17" spans="2:13" x14ac:dyDescent="0.15">
      <c r="B17" s="79" t="s">
        <v>74</v>
      </c>
      <c r="C17" s="80">
        <v>14</v>
      </c>
      <c r="D17" s="86">
        <v>0.14128783864928826</v>
      </c>
      <c r="E17" s="87">
        <v>0.72998716635465599</v>
      </c>
      <c r="F17" s="51"/>
      <c r="G17" s="51"/>
      <c r="I17" s="57"/>
      <c r="J17" s="57"/>
      <c r="K17" s="57"/>
      <c r="L17" s="57"/>
      <c r="M17" s="57"/>
    </row>
    <row r="18" spans="2:13" x14ac:dyDescent="0.15">
      <c r="B18" s="79" t="s">
        <v>75</v>
      </c>
      <c r="C18" s="80">
        <v>15</v>
      </c>
      <c r="D18" s="86">
        <v>0.15103043949857894</v>
      </c>
      <c r="E18" s="87">
        <v>0.20595059931624402</v>
      </c>
      <c r="F18" s="51"/>
      <c r="G18" s="51"/>
      <c r="I18" s="57"/>
      <c r="J18" s="57"/>
      <c r="K18" s="57"/>
      <c r="L18" s="57"/>
      <c r="M18" s="57"/>
    </row>
    <row r="19" spans="2:13" x14ac:dyDescent="0.15">
      <c r="B19" s="79" t="s">
        <v>76</v>
      </c>
      <c r="C19" s="80">
        <v>16</v>
      </c>
      <c r="D19" s="86">
        <v>9.9155759533118018E-2</v>
      </c>
      <c r="E19" s="87">
        <v>0.42495325514193438</v>
      </c>
      <c r="F19" s="51">
        <v>1</v>
      </c>
      <c r="G19" s="51"/>
      <c r="I19" s="57"/>
      <c r="J19" s="57"/>
      <c r="K19" s="57"/>
      <c r="L19" s="57"/>
      <c r="M19" s="57"/>
    </row>
    <row r="20" spans="2:13" x14ac:dyDescent="0.15">
      <c r="B20" s="79" t="s">
        <v>77</v>
      </c>
      <c r="C20" s="80">
        <v>17</v>
      </c>
      <c r="D20" s="86">
        <v>9.9781905264208229E-2</v>
      </c>
      <c r="E20" s="87">
        <v>0.4133821789517198</v>
      </c>
      <c r="F20" s="51">
        <v>1</v>
      </c>
      <c r="G20" s="51"/>
      <c r="I20" s="57"/>
      <c r="J20" s="57"/>
      <c r="K20" s="57"/>
      <c r="L20" s="57"/>
      <c r="M20" s="57"/>
    </row>
    <row r="21" spans="2:13" x14ac:dyDescent="0.15">
      <c r="B21" s="79" t="s">
        <v>78</v>
      </c>
      <c r="C21" s="80">
        <v>18</v>
      </c>
      <c r="D21" s="86">
        <v>8.4132592966515221E-2</v>
      </c>
      <c r="E21" s="87">
        <v>0.18228728476078299</v>
      </c>
      <c r="F21" s="51"/>
      <c r="G21" s="51"/>
      <c r="I21" s="57"/>
      <c r="J21" s="57"/>
      <c r="K21" s="57"/>
      <c r="L21" s="57"/>
      <c r="M21" s="57"/>
    </row>
    <row r="22" spans="2:13" x14ac:dyDescent="0.15">
      <c r="B22" s="79" t="s">
        <v>79</v>
      </c>
      <c r="C22" s="80">
        <v>19</v>
      </c>
      <c r="D22" s="86">
        <v>7.0981388679888124E-2</v>
      </c>
      <c r="E22" s="87">
        <v>0.41169205434335115</v>
      </c>
      <c r="F22" s="51"/>
      <c r="G22" s="51"/>
      <c r="I22" s="57"/>
      <c r="J22" s="57"/>
      <c r="K22" s="57"/>
      <c r="L22" s="57"/>
      <c r="M22" s="57"/>
    </row>
    <row r="23" spans="2:13" x14ac:dyDescent="0.15">
      <c r="B23" s="79" t="s">
        <v>80</v>
      </c>
      <c r="C23" s="80">
        <v>20</v>
      </c>
      <c r="D23" s="86">
        <v>8.4510613124498216E-2</v>
      </c>
      <c r="E23" s="87">
        <v>0.6056593940589039</v>
      </c>
      <c r="F23" s="51"/>
      <c r="G23" s="51"/>
      <c r="I23" s="57"/>
      <c r="J23" s="57"/>
      <c r="K23" s="57"/>
      <c r="L23" s="57"/>
      <c r="M23" s="57"/>
    </row>
    <row r="24" spans="2:13" x14ac:dyDescent="0.15">
      <c r="B24" s="79" t="s">
        <v>81</v>
      </c>
      <c r="C24" s="80">
        <v>21</v>
      </c>
      <c r="D24" s="86">
        <v>0.13069876311443271</v>
      </c>
      <c r="E24" s="87">
        <v>0.19010729180281122</v>
      </c>
      <c r="F24" s="51"/>
      <c r="G24" s="51"/>
      <c r="I24" s="57"/>
      <c r="J24" s="57"/>
      <c r="K24" s="57"/>
      <c r="L24" s="57"/>
      <c r="M24" s="57"/>
    </row>
    <row r="25" spans="2:13" x14ac:dyDescent="0.15">
      <c r="B25" s="79" t="s">
        <v>82</v>
      </c>
      <c r="C25" s="80">
        <v>22</v>
      </c>
      <c r="D25" s="86">
        <v>4.7177043650559636E-2</v>
      </c>
      <c r="E25" s="87">
        <v>0.34203356646655736</v>
      </c>
      <c r="F25" s="51"/>
      <c r="G25" s="51"/>
      <c r="I25" s="57"/>
      <c r="J25" s="57"/>
      <c r="K25" s="57"/>
      <c r="L25" s="57"/>
      <c r="M25" s="57"/>
    </row>
    <row r="26" spans="2:13" x14ac:dyDescent="0.15">
      <c r="B26" s="79" t="s">
        <v>83</v>
      </c>
      <c r="C26" s="80">
        <v>23</v>
      </c>
      <c r="D26" s="86">
        <v>6.1218992580258091E-2</v>
      </c>
      <c r="E26" s="87">
        <v>0.2693635673531356</v>
      </c>
      <c r="F26" s="51"/>
      <c r="G26" s="51"/>
      <c r="I26" s="57"/>
      <c r="J26" s="57"/>
      <c r="K26" s="57"/>
      <c r="L26" s="57"/>
      <c r="M26" s="57"/>
    </row>
    <row r="27" spans="2:13" x14ac:dyDescent="0.15">
      <c r="B27" s="79" t="s">
        <v>84</v>
      </c>
      <c r="C27" s="80">
        <v>24</v>
      </c>
      <c r="D27" s="86">
        <v>0</v>
      </c>
      <c r="E27" s="87">
        <v>0.36332617212182483</v>
      </c>
      <c r="F27" s="51"/>
      <c r="G27" s="51"/>
      <c r="I27" s="57"/>
      <c r="J27" s="57"/>
      <c r="K27" s="57"/>
      <c r="L27" s="57"/>
      <c r="M27" s="57"/>
    </row>
    <row r="28" spans="2:13" x14ac:dyDescent="0.15">
      <c r="B28" s="79" t="s">
        <v>85</v>
      </c>
      <c r="C28" s="80">
        <v>25</v>
      </c>
      <c r="D28" s="86">
        <v>0.15653683596362652</v>
      </c>
      <c r="E28" s="87">
        <v>5.6922485804955104E-2</v>
      </c>
      <c r="F28" s="51"/>
      <c r="G28" s="51"/>
      <c r="I28" s="57"/>
      <c r="J28" s="57"/>
      <c r="K28" s="57"/>
      <c r="L28" s="57"/>
      <c r="M28" s="57"/>
    </row>
    <row r="29" spans="2:13" x14ac:dyDescent="0.15">
      <c r="B29" s="79" t="s">
        <v>86</v>
      </c>
      <c r="C29" s="80">
        <v>26</v>
      </c>
      <c r="D29" s="86">
        <v>0.12289994715302271</v>
      </c>
      <c r="E29" s="87">
        <v>0.13518994186832498</v>
      </c>
      <c r="F29" s="51">
        <v>2</v>
      </c>
      <c r="G29" s="51"/>
      <c r="I29" s="57"/>
      <c r="J29" s="57"/>
      <c r="K29" s="57"/>
      <c r="L29" s="57"/>
      <c r="M29" s="57"/>
    </row>
    <row r="30" spans="2:13" x14ac:dyDescent="0.15">
      <c r="B30" s="79" t="s">
        <v>87</v>
      </c>
      <c r="C30" s="80">
        <v>27</v>
      </c>
      <c r="D30" s="86">
        <v>7.035416285581618E-2</v>
      </c>
      <c r="E30" s="87">
        <v>2.814166514232647E-2</v>
      </c>
      <c r="F30" s="51"/>
      <c r="G30" s="51"/>
      <c r="I30" s="57"/>
      <c r="J30" s="57"/>
      <c r="K30" s="57"/>
      <c r="L30" s="57"/>
      <c r="M30" s="57"/>
    </row>
    <row r="31" spans="2:13" x14ac:dyDescent="0.15">
      <c r="B31" s="79" t="s">
        <v>88</v>
      </c>
      <c r="C31" s="80">
        <v>28</v>
      </c>
      <c r="D31" s="86">
        <v>8.1645983017635537E-2</v>
      </c>
      <c r="E31" s="87">
        <v>0.21772262138036141</v>
      </c>
      <c r="F31" s="51"/>
      <c r="G31" s="51"/>
      <c r="I31" s="57"/>
      <c r="J31" s="57"/>
      <c r="K31" s="57"/>
      <c r="L31" s="57"/>
      <c r="M31" s="57"/>
    </row>
    <row r="32" spans="2:13" x14ac:dyDescent="0.15">
      <c r="B32" s="79" t="s">
        <v>89</v>
      </c>
      <c r="C32" s="80">
        <v>29</v>
      </c>
      <c r="D32" s="86">
        <v>0.16938147531264997</v>
      </c>
      <c r="E32" s="87">
        <v>0.15526635236992914</v>
      </c>
      <c r="F32" s="51"/>
      <c r="G32" s="51"/>
      <c r="I32" s="57"/>
      <c r="J32" s="57"/>
      <c r="K32" s="57"/>
      <c r="L32" s="57"/>
      <c r="M32" s="57"/>
    </row>
    <row r="33" spans="2:13" x14ac:dyDescent="0.15">
      <c r="B33" s="79" t="s">
        <v>90</v>
      </c>
      <c r="C33" s="80">
        <v>30</v>
      </c>
      <c r="D33" s="86">
        <v>1.4289388699951416E-2</v>
      </c>
      <c r="E33" s="87">
        <v>0.67160126889771654</v>
      </c>
      <c r="F33" s="51"/>
      <c r="G33" s="51"/>
      <c r="I33" s="57"/>
      <c r="J33" s="57"/>
      <c r="K33" s="57"/>
      <c r="L33" s="57"/>
      <c r="M33" s="57"/>
    </row>
    <row r="34" spans="2:13" x14ac:dyDescent="0.15">
      <c r="B34" s="79" t="s">
        <v>91</v>
      </c>
      <c r="C34" s="80">
        <v>31</v>
      </c>
      <c r="D34" s="86">
        <v>1.3003393885804194E-2</v>
      </c>
      <c r="E34" s="87">
        <v>9.1023757200629357E-2</v>
      </c>
      <c r="F34" s="51"/>
      <c r="G34" s="51"/>
      <c r="I34" s="57"/>
      <c r="J34" s="57"/>
      <c r="K34" s="57"/>
      <c r="L34" s="57"/>
      <c r="M34" s="57"/>
    </row>
    <row r="35" spans="2:13" x14ac:dyDescent="0.15">
      <c r="B35" s="79" t="s">
        <v>92</v>
      </c>
      <c r="C35" s="80">
        <v>32</v>
      </c>
      <c r="D35" s="86">
        <v>3.8643858202802965E-2</v>
      </c>
      <c r="E35" s="87">
        <v>6.4406430338004944E-2</v>
      </c>
      <c r="F35" s="51"/>
      <c r="G35" s="51"/>
      <c r="I35" s="57"/>
      <c r="J35" s="57"/>
      <c r="K35" s="57"/>
      <c r="L35" s="57"/>
      <c r="M35" s="57"/>
    </row>
    <row r="36" spans="2:13" x14ac:dyDescent="0.15">
      <c r="B36" s="79" t="s">
        <v>93</v>
      </c>
      <c r="C36" s="80">
        <v>33</v>
      </c>
      <c r="D36" s="86">
        <v>9.1879191988134462E-2</v>
      </c>
      <c r="E36" s="87">
        <v>2.6251197710895562E-2</v>
      </c>
      <c r="F36" s="51"/>
      <c r="G36" s="51"/>
      <c r="I36" s="57"/>
      <c r="J36" s="57"/>
      <c r="K36" s="57"/>
      <c r="L36" s="57"/>
      <c r="M36" s="57"/>
    </row>
    <row r="37" spans="2:13" x14ac:dyDescent="0.15">
      <c r="B37" s="79" t="s">
        <v>94</v>
      </c>
      <c r="C37" s="80">
        <v>34</v>
      </c>
      <c r="D37" s="86">
        <v>1.3004577611319184E-2</v>
      </c>
      <c r="E37" s="87">
        <v>0.11704119850187265</v>
      </c>
      <c r="F37" s="51"/>
      <c r="G37" s="51"/>
      <c r="I37" s="57"/>
      <c r="J37" s="57"/>
      <c r="K37" s="57"/>
      <c r="L37" s="57"/>
      <c r="M37" s="57"/>
    </row>
    <row r="38" spans="2:13" x14ac:dyDescent="0.15">
      <c r="B38" s="79" t="s">
        <v>95</v>
      </c>
      <c r="C38" s="80">
        <v>35</v>
      </c>
      <c r="D38" s="86">
        <v>5.9059768485707535E-2</v>
      </c>
      <c r="E38" s="87">
        <v>1.1811953697141508</v>
      </c>
      <c r="F38" s="51"/>
      <c r="G38" s="51"/>
      <c r="I38" s="57"/>
      <c r="J38" s="57"/>
      <c r="K38" s="57"/>
      <c r="L38" s="57"/>
      <c r="M38" s="57"/>
    </row>
    <row r="39" spans="2:13" x14ac:dyDescent="0.15">
      <c r="B39" s="79" t="s">
        <v>96</v>
      </c>
      <c r="C39" s="80">
        <v>36</v>
      </c>
      <c r="D39" s="86">
        <v>5.5614259496134806E-2</v>
      </c>
      <c r="E39" s="87">
        <v>0.34758912185084251</v>
      </c>
      <c r="F39" s="51"/>
      <c r="G39" s="51"/>
      <c r="I39" s="57"/>
      <c r="J39" s="57"/>
      <c r="K39" s="57"/>
      <c r="L39" s="57"/>
      <c r="M39" s="57"/>
    </row>
    <row r="40" spans="2:13" x14ac:dyDescent="0.15">
      <c r="B40" s="79" t="s">
        <v>97</v>
      </c>
      <c r="C40" s="80">
        <v>37</v>
      </c>
      <c r="D40" s="86">
        <v>1.8233867585653592E-2</v>
      </c>
      <c r="E40" s="87">
        <v>0</v>
      </c>
      <c r="F40" s="51">
        <v>1</v>
      </c>
      <c r="G40" s="51"/>
      <c r="I40" s="57"/>
      <c r="J40" s="57"/>
      <c r="K40" s="57"/>
      <c r="L40" s="57"/>
      <c r="M40" s="57"/>
    </row>
    <row r="41" spans="2:13" x14ac:dyDescent="0.15">
      <c r="B41" s="79" t="s">
        <v>98</v>
      </c>
      <c r="C41" s="80">
        <v>38</v>
      </c>
      <c r="D41" s="86">
        <v>1.3190001978500298E-2</v>
      </c>
      <c r="E41" s="87">
        <v>3.957000593550089E-2</v>
      </c>
      <c r="F41" s="51"/>
      <c r="G41" s="51"/>
      <c r="I41" s="57"/>
      <c r="J41" s="57"/>
      <c r="K41" s="57"/>
      <c r="L41" s="57"/>
      <c r="M41" s="57"/>
    </row>
    <row r="42" spans="2:13" x14ac:dyDescent="0.15">
      <c r="B42" s="79" t="s">
        <v>99</v>
      </c>
      <c r="C42" s="80">
        <v>39</v>
      </c>
      <c r="D42" s="86">
        <v>2.7522052044200416E-2</v>
      </c>
      <c r="E42" s="87">
        <v>0</v>
      </c>
      <c r="F42" s="51"/>
      <c r="G42" s="51"/>
      <c r="I42" s="57"/>
      <c r="J42" s="57"/>
      <c r="K42" s="57"/>
      <c r="L42" s="57"/>
      <c r="M42" s="57"/>
    </row>
    <row r="43" spans="2:13" x14ac:dyDescent="0.15">
      <c r="B43" s="79" t="s">
        <v>100</v>
      </c>
      <c r="C43" s="80">
        <v>40</v>
      </c>
      <c r="D43" s="86">
        <v>9.4224064826156598E-2</v>
      </c>
      <c r="E43" s="87">
        <v>5.3842322757803776E-2</v>
      </c>
      <c r="F43" s="51"/>
      <c r="G43" s="51"/>
      <c r="I43" s="57"/>
      <c r="J43" s="57"/>
      <c r="K43" s="57"/>
      <c r="L43" s="57"/>
      <c r="M43" s="57"/>
    </row>
    <row r="44" spans="2:13" x14ac:dyDescent="0.15">
      <c r="B44" s="79" t="s">
        <v>101</v>
      </c>
      <c r="C44" s="80">
        <v>41</v>
      </c>
      <c r="D44" s="86">
        <v>1.4180776539323293E-2</v>
      </c>
      <c r="E44" s="87">
        <v>0</v>
      </c>
      <c r="F44" s="51">
        <v>1</v>
      </c>
      <c r="G44" s="51"/>
      <c r="I44" s="57"/>
      <c r="J44" s="57"/>
      <c r="K44" s="57"/>
      <c r="L44" s="57"/>
      <c r="M44" s="57"/>
    </row>
    <row r="45" spans="2:13" x14ac:dyDescent="0.15">
      <c r="B45" s="58"/>
      <c r="C45" s="61"/>
      <c r="D45" s="16"/>
      <c r="E45" s="51"/>
      <c r="F45" s="51"/>
      <c r="G45" s="51"/>
      <c r="I45" s="57"/>
      <c r="J45" s="57"/>
      <c r="K45" s="57"/>
      <c r="L45" s="57"/>
      <c r="M45" s="57"/>
    </row>
    <row r="46" spans="2:13" x14ac:dyDescent="0.15">
      <c r="B46" s="58"/>
      <c r="C46" s="61"/>
      <c r="D46" s="16"/>
      <c r="E46" s="51"/>
      <c r="F46" s="51"/>
      <c r="G46" s="51"/>
      <c r="I46" s="57"/>
      <c r="J46" s="57"/>
      <c r="K46" s="57"/>
      <c r="L46" s="57"/>
      <c r="M46" s="57"/>
    </row>
    <row r="47" spans="2:13" x14ac:dyDescent="0.15">
      <c r="B47" s="58"/>
      <c r="C47" s="61"/>
      <c r="D47" s="16"/>
      <c r="E47" s="51"/>
      <c r="F47" s="51"/>
      <c r="G47" s="51"/>
      <c r="I47" s="57"/>
      <c r="J47" s="57"/>
      <c r="K47" s="57"/>
      <c r="L47" s="57"/>
      <c r="M47" s="57"/>
    </row>
    <row r="48" spans="2:13" x14ac:dyDescent="0.15">
      <c r="B48" s="58"/>
      <c r="C48" s="61"/>
      <c r="D48" s="16"/>
      <c r="E48" s="51"/>
      <c r="F48" s="51"/>
      <c r="G48" s="51"/>
      <c r="I48" s="57"/>
      <c r="J48" s="57"/>
      <c r="K48" s="57"/>
      <c r="L48" s="57"/>
      <c r="M48" s="57"/>
    </row>
    <row r="49" spans="2:13" x14ac:dyDescent="0.15">
      <c r="B49" s="58"/>
      <c r="C49" s="61"/>
      <c r="D49" s="16"/>
      <c r="E49" s="51"/>
      <c r="F49" s="51"/>
      <c r="G49" s="51"/>
      <c r="I49" s="57"/>
      <c r="J49" s="57"/>
      <c r="K49" s="57"/>
      <c r="L49" s="57"/>
      <c r="M49" s="57"/>
    </row>
    <row r="50" spans="2:13" x14ac:dyDescent="0.15">
      <c r="B50" s="58"/>
      <c r="C50" s="61"/>
      <c r="D50" s="16"/>
      <c r="E50" s="51"/>
      <c r="F50" s="51"/>
      <c r="G50" s="51"/>
      <c r="I50" s="57"/>
      <c r="J50" s="57"/>
      <c r="K50" s="57"/>
      <c r="L50" s="57"/>
      <c r="M50" s="57"/>
    </row>
    <row r="51" spans="2:13" x14ac:dyDescent="0.15">
      <c r="B51" s="58"/>
      <c r="C51" s="61"/>
      <c r="D51" s="16"/>
      <c r="E51" s="51"/>
      <c r="F51" s="51"/>
      <c r="G51" s="51"/>
      <c r="I51" s="57"/>
      <c r="J51" s="57"/>
      <c r="K51" s="57"/>
      <c r="L51" s="57"/>
      <c r="M51" s="57"/>
    </row>
    <row r="52" spans="2:13" x14ac:dyDescent="0.15">
      <c r="B52" s="58"/>
      <c r="C52" s="61"/>
      <c r="D52" s="16"/>
      <c r="E52" s="51"/>
      <c r="F52" s="51"/>
      <c r="G52" s="51"/>
      <c r="I52" s="57"/>
      <c r="J52" s="57"/>
      <c r="K52" s="57"/>
      <c r="L52" s="57"/>
      <c r="M52" s="57"/>
    </row>
    <row r="53" spans="2:13" x14ac:dyDescent="0.15">
      <c r="B53" s="58"/>
      <c r="C53" s="61"/>
      <c r="D53" s="16"/>
      <c r="E53" s="51"/>
      <c r="F53" s="51"/>
      <c r="G53" s="51"/>
      <c r="I53" s="57"/>
      <c r="J53" s="57"/>
      <c r="K53" s="57"/>
      <c r="L53" s="57"/>
      <c r="M53" s="57"/>
    </row>
    <row r="54" spans="2:13" x14ac:dyDescent="0.15">
      <c r="B54" s="58"/>
      <c r="C54" s="61"/>
      <c r="D54" s="16"/>
      <c r="E54" s="51"/>
      <c r="F54" s="51"/>
      <c r="G54" s="51"/>
      <c r="I54" s="57"/>
      <c r="J54" s="57"/>
      <c r="K54" s="57"/>
      <c r="L54" s="57"/>
      <c r="M54" s="57"/>
    </row>
    <row r="55" spans="2:13" x14ac:dyDescent="0.15">
      <c r="B55" s="58"/>
      <c r="C55" s="61"/>
      <c r="D55" s="16"/>
      <c r="E55" s="51"/>
      <c r="F55" s="51"/>
      <c r="G55" s="51"/>
      <c r="I55" s="57"/>
      <c r="J55" s="57"/>
      <c r="K55" s="57"/>
      <c r="L55" s="57"/>
      <c r="M55" s="57"/>
    </row>
    <row r="56" spans="2:13" x14ac:dyDescent="0.15">
      <c r="B56" s="58"/>
      <c r="C56" s="61"/>
      <c r="D56" s="16"/>
      <c r="E56" s="51"/>
      <c r="F56" s="51"/>
      <c r="G56" s="51"/>
      <c r="I56" s="57"/>
      <c r="J56" s="57"/>
      <c r="K56" s="57"/>
      <c r="L56" s="57"/>
      <c r="M56" s="57"/>
    </row>
    <row r="57" spans="2:13" x14ac:dyDescent="0.15">
      <c r="B57" s="58"/>
      <c r="C57" s="61"/>
      <c r="D57" s="16"/>
      <c r="E57" s="51"/>
      <c r="F57" s="51"/>
      <c r="G57" s="51"/>
      <c r="I57" s="57"/>
      <c r="J57" s="57"/>
      <c r="K57" s="57"/>
      <c r="L57" s="57"/>
      <c r="M57" s="57"/>
    </row>
    <row r="58" spans="2:13" x14ac:dyDescent="0.15">
      <c r="B58" s="58"/>
      <c r="C58" s="61"/>
      <c r="D58" s="16"/>
      <c r="E58" s="51"/>
      <c r="F58" s="51"/>
      <c r="G58" s="51"/>
      <c r="I58" s="57"/>
      <c r="J58" s="57"/>
      <c r="K58" s="57"/>
      <c r="L58" s="57"/>
      <c r="M58" s="57"/>
    </row>
    <row r="59" spans="2:13" x14ac:dyDescent="0.15">
      <c r="B59" s="58"/>
      <c r="C59" s="61"/>
      <c r="D59" s="16"/>
      <c r="E59" s="51"/>
      <c r="F59" s="51"/>
      <c r="G59" s="51"/>
      <c r="I59" s="57"/>
      <c r="J59" s="57"/>
      <c r="K59" s="57"/>
      <c r="L59" s="57"/>
      <c r="M59" s="57"/>
    </row>
    <row r="60" spans="2:13" x14ac:dyDescent="0.15">
      <c r="B60" s="58"/>
      <c r="C60" s="61"/>
      <c r="D60" s="16"/>
      <c r="E60" s="51"/>
      <c r="F60" s="51"/>
      <c r="G60" s="51"/>
      <c r="I60" s="57"/>
      <c r="J60" s="57"/>
      <c r="K60" s="57"/>
      <c r="L60" s="57"/>
      <c r="M60" s="57"/>
    </row>
    <row r="61" spans="2:13" x14ac:dyDescent="0.15">
      <c r="B61" s="58"/>
      <c r="C61" s="61"/>
      <c r="D61" s="16"/>
      <c r="E61" s="51"/>
      <c r="F61" s="51"/>
      <c r="G61" s="51"/>
      <c r="I61" s="57"/>
      <c r="J61" s="57"/>
      <c r="K61" s="57"/>
      <c r="L61" s="57"/>
      <c r="M61" s="57"/>
    </row>
    <row r="62" spans="2:13" x14ac:dyDescent="0.15">
      <c r="B62" s="16"/>
      <c r="C62" s="16"/>
      <c r="D62" s="16"/>
      <c r="E62" s="51"/>
      <c r="F62" s="51"/>
      <c r="G62" s="51"/>
      <c r="I62" s="57"/>
      <c r="J62" s="57"/>
      <c r="K62" s="57"/>
      <c r="L62" s="57"/>
      <c r="M62" s="57"/>
    </row>
    <row r="63" spans="2:13" x14ac:dyDescent="0.15">
      <c r="B63" s="16"/>
      <c r="C63" s="16"/>
      <c r="D63" s="16"/>
      <c r="E63" s="51"/>
      <c r="F63" s="51"/>
      <c r="G63" s="51"/>
      <c r="I63" s="57"/>
      <c r="J63" s="57"/>
      <c r="K63" s="57"/>
      <c r="L63" s="57"/>
      <c r="M63" s="57"/>
    </row>
    <row r="64" spans="2:13" x14ac:dyDescent="0.15">
      <c r="B64" s="16"/>
      <c r="C64" s="16"/>
      <c r="D64" s="16"/>
      <c r="E64" s="51"/>
      <c r="F64" s="51"/>
      <c r="G64" s="51"/>
      <c r="I64" s="57"/>
      <c r="J64" s="57"/>
      <c r="K64" s="57"/>
      <c r="L64" s="57"/>
      <c r="M64" s="57"/>
    </row>
    <row r="65" spans="2:13" x14ac:dyDescent="0.15">
      <c r="B65" s="16"/>
      <c r="C65" s="16"/>
      <c r="D65" s="16"/>
      <c r="E65" s="51"/>
      <c r="F65" s="51"/>
      <c r="G65" s="51"/>
      <c r="I65" s="57"/>
      <c r="J65" s="57"/>
      <c r="K65" s="57"/>
      <c r="L65" s="57"/>
      <c r="M65" s="57"/>
    </row>
    <row r="66" spans="2:13" x14ac:dyDescent="0.15">
      <c r="B66" s="16"/>
      <c r="C66" s="16"/>
      <c r="D66" s="16"/>
      <c r="E66" s="51"/>
      <c r="F66" s="51"/>
      <c r="G66" s="51"/>
      <c r="I66" s="57"/>
      <c r="J66" s="57"/>
      <c r="K66" s="57"/>
      <c r="L66" s="57"/>
      <c r="M66" s="57"/>
    </row>
    <row r="67" spans="2:13" x14ac:dyDescent="0.15">
      <c r="B67" s="16"/>
      <c r="C67" s="16"/>
      <c r="D67" s="16"/>
      <c r="E67" s="51"/>
      <c r="F67" s="51"/>
      <c r="G67" s="51"/>
      <c r="I67" s="57"/>
      <c r="J67" s="57"/>
      <c r="K67" s="57"/>
      <c r="L67" s="57"/>
      <c r="M67" s="57"/>
    </row>
    <row r="68" spans="2:13" x14ac:dyDescent="0.15">
      <c r="B68" s="16"/>
      <c r="C68" s="16"/>
      <c r="D68" s="16"/>
      <c r="E68" s="51"/>
      <c r="F68" s="51"/>
      <c r="G68" s="51"/>
      <c r="I68" s="57"/>
      <c r="J68" s="57"/>
      <c r="K68" s="57"/>
      <c r="L68" s="57"/>
      <c r="M68" s="57"/>
    </row>
    <row r="69" spans="2:13" x14ac:dyDescent="0.15">
      <c r="B69" s="16"/>
      <c r="C69" s="16"/>
      <c r="D69" s="16"/>
      <c r="E69" s="51"/>
      <c r="F69" s="51"/>
      <c r="G69" s="51"/>
      <c r="I69" s="57"/>
      <c r="J69" s="57"/>
      <c r="K69" s="57"/>
      <c r="L69" s="57"/>
      <c r="M69" s="57"/>
    </row>
    <row r="70" spans="2:13" x14ac:dyDescent="0.15">
      <c r="B70" s="16"/>
      <c r="C70" s="16"/>
      <c r="D70" s="16"/>
      <c r="E70" s="51"/>
      <c r="F70" s="51"/>
      <c r="G70" s="51"/>
      <c r="I70" s="57"/>
      <c r="J70" s="57"/>
      <c r="K70" s="57"/>
      <c r="L70" s="57"/>
      <c r="M70" s="57"/>
    </row>
    <row r="71" spans="2:13" x14ac:dyDescent="0.15">
      <c r="B71" s="16"/>
      <c r="C71" s="16"/>
      <c r="D71" s="16"/>
      <c r="E71" s="51"/>
      <c r="F71" s="51"/>
      <c r="G71" s="51"/>
      <c r="I71" s="57"/>
      <c r="J71" s="57"/>
      <c r="K71" s="57"/>
      <c r="L71" s="57"/>
      <c r="M71" s="57"/>
    </row>
    <row r="72" spans="2:13" x14ac:dyDescent="0.15">
      <c r="B72" s="16"/>
      <c r="C72" s="16"/>
      <c r="D72" s="16"/>
      <c r="E72" s="51"/>
      <c r="F72" s="51"/>
      <c r="G72" s="51"/>
      <c r="I72" s="57"/>
      <c r="J72" s="57"/>
      <c r="K72" s="57"/>
      <c r="L72" s="57"/>
      <c r="M72" s="57"/>
    </row>
    <row r="73" spans="2:13" x14ac:dyDescent="0.15">
      <c r="B73" s="16"/>
      <c r="C73" s="16"/>
      <c r="D73" s="16"/>
      <c r="E73" s="51"/>
      <c r="F73" s="51"/>
      <c r="G73" s="51"/>
      <c r="I73" s="57"/>
      <c r="J73" s="57"/>
      <c r="K73" s="57"/>
      <c r="L73" s="57"/>
      <c r="M73" s="57"/>
    </row>
    <row r="74" spans="2:13" x14ac:dyDescent="0.15">
      <c r="B74" s="16"/>
      <c r="C74" s="16"/>
      <c r="D74" s="16"/>
      <c r="E74" s="51"/>
      <c r="F74" s="51"/>
      <c r="G74" s="51"/>
      <c r="I74" s="57"/>
      <c r="J74" s="57"/>
      <c r="K74" s="57"/>
      <c r="L74" s="57"/>
      <c r="M74" s="57"/>
    </row>
    <row r="75" spans="2:13" x14ac:dyDescent="0.15">
      <c r="B75" s="16"/>
      <c r="C75" s="16"/>
      <c r="D75" s="16"/>
      <c r="E75" s="51"/>
      <c r="F75" s="51"/>
      <c r="G75" s="51"/>
      <c r="I75" s="57"/>
      <c r="J75" s="57"/>
      <c r="K75" s="57"/>
      <c r="L75" s="57"/>
      <c r="M75" s="57"/>
    </row>
    <row r="76" spans="2:13" x14ac:dyDescent="0.15">
      <c r="B76" s="16"/>
      <c r="C76" s="16"/>
      <c r="D76" s="16"/>
      <c r="E76" s="51"/>
      <c r="F76" s="51"/>
      <c r="G76" s="51"/>
      <c r="I76" s="57"/>
      <c r="J76" s="57"/>
      <c r="K76" s="57"/>
      <c r="L76" s="57"/>
      <c r="M76" s="57"/>
    </row>
    <row r="77" spans="2:13" x14ac:dyDescent="0.15">
      <c r="B77" s="16"/>
      <c r="C77" s="16"/>
      <c r="D77" s="16"/>
      <c r="E77" s="51"/>
      <c r="F77" s="51"/>
      <c r="G77" s="51"/>
      <c r="I77" s="57"/>
      <c r="J77" s="57"/>
      <c r="K77" s="57"/>
      <c r="L77" s="57"/>
      <c r="M77" s="57"/>
    </row>
    <row r="78" spans="2:13" x14ac:dyDescent="0.15">
      <c r="B78" s="16"/>
      <c r="C78" s="16"/>
      <c r="D78" s="16"/>
      <c r="E78" s="51"/>
      <c r="F78" s="51"/>
      <c r="G78" s="51"/>
      <c r="I78" s="57"/>
      <c r="J78" s="57"/>
      <c r="K78" s="57"/>
      <c r="L78" s="57"/>
      <c r="M78" s="57"/>
    </row>
    <row r="79" spans="2:13" x14ac:dyDescent="0.15">
      <c r="B79" s="16"/>
      <c r="C79" s="16"/>
      <c r="D79" s="16"/>
      <c r="E79" s="51"/>
      <c r="F79" s="51"/>
      <c r="G79" s="51"/>
      <c r="I79" s="57"/>
      <c r="J79" s="57"/>
      <c r="K79" s="57"/>
      <c r="L79" s="57"/>
      <c r="M79" s="57"/>
    </row>
    <row r="80" spans="2:13" x14ac:dyDescent="0.15">
      <c r="B80" s="16"/>
      <c r="C80" s="16"/>
      <c r="D80" s="16"/>
      <c r="E80" s="51"/>
      <c r="F80" s="51"/>
      <c r="G80" s="51"/>
      <c r="I80" s="57"/>
      <c r="J80" s="57"/>
      <c r="K80" s="57"/>
      <c r="L80" s="57"/>
      <c r="M80" s="57"/>
    </row>
    <row r="81" spans="2:13" x14ac:dyDescent="0.15">
      <c r="B81" s="16"/>
      <c r="C81" s="16"/>
      <c r="D81" s="16"/>
      <c r="E81" s="51"/>
      <c r="F81" s="51"/>
      <c r="G81" s="51"/>
      <c r="I81" s="57"/>
      <c r="J81" s="57"/>
      <c r="K81" s="57"/>
      <c r="L81" s="57"/>
      <c r="M81" s="57"/>
    </row>
    <row r="82" spans="2:13" x14ac:dyDescent="0.15">
      <c r="B82" s="16"/>
      <c r="C82" s="16"/>
      <c r="D82" s="16"/>
      <c r="E82" s="51"/>
      <c r="F82" s="51"/>
      <c r="G82" s="51"/>
      <c r="I82" s="57"/>
      <c r="J82" s="57"/>
      <c r="K82" s="57"/>
      <c r="L82" s="57"/>
      <c r="M82" s="57"/>
    </row>
    <row r="83" spans="2:13" x14ac:dyDescent="0.15">
      <c r="B83" s="16"/>
      <c r="C83" s="16"/>
      <c r="D83" s="16"/>
      <c r="E83" s="51"/>
      <c r="F83" s="51"/>
      <c r="G83" s="51"/>
      <c r="I83" s="57"/>
      <c r="J83" s="57"/>
      <c r="K83" s="57"/>
      <c r="L83" s="57"/>
      <c r="M83" s="57"/>
    </row>
    <row r="84" spans="2:13" x14ac:dyDescent="0.15">
      <c r="B84" s="16"/>
      <c r="C84" s="16"/>
      <c r="D84" s="16"/>
      <c r="E84" s="51"/>
      <c r="F84" s="51"/>
      <c r="G84" s="51"/>
      <c r="I84" s="57"/>
      <c r="J84" s="57"/>
      <c r="K84" s="57"/>
      <c r="L84" s="57"/>
      <c r="M84" s="57"/>
    </row>
    <row r="85" spans="2:13" x14ac:dyDescent="0.15">
      <c r="B85" s="16"/>
      <c r="C85" s="16"/>
      <c r="D85" s="16"/>
      <c r="E85" s="51"/>
      <c r="F85" s="51"/>
      <c r="G85" s="51"/>
      <c r="I85" s="57"/>
      <c r="J85" s="57"/>
      <c r="K85" s="57"/>
      <c r="L85" s="57"/>
      <c r="M85" s="57"/>
    </row>
    <row r="86" spans="2:13" x14ac:dyDescent="0.15">
      <c r="B86" s="16"/>
      <c r="C86" s="16"/>
      <c r="D86" s="16"/>
      <c r="E86" s="51"/>
      <c r="F86" s="51"/>
      <c r="G86" s="51"/>
      <c r="I86" s="57"/>
      <c r="J86" s="57"/>
      <c r="K86" s="57"/>
      <c r="L86" s="57"/>
      <c r="M86" s="57"/>
    </row>
    <row r="87" spans="2:13" x14ac:dyDescent="0.15">
      <c r="B87" s="16"/>
      <c r="C87" s="16"/>
      <c r="D87" s="16"/>
      <c r="E87" s="51"/>
      <c r="F87" s="51"/>
      <c r="G87" s="51"/>
      <c r="I87" s="57"/>
      <c r="J87" s="57"/>
      <c r="K87" s="57"/>
      <c r="L87" s="57"/>
      <c r="M87" s="57"/>
    </row>
    <row r="88" spans="2:13" x14ac:dyDescent="0.15">
      <c r="B88" s="16"/>
      <c r="C88" s="16"/>
      <c r="D88" s="16"/>
      <c r="E88" s="51"/>
      <c r="F88" s="51"/>
      <c r="G88" s="51"/>
      <c r="I88" s="57"/>
      <c r="J88" s="57"/>
      <c r="K88" s="57"/>
      <c r="L88" s="57"/>
      <c r="M88" s="57"/>
    </row>
    <row r="89" spans="2:13" x14ac:dyDescent="0.15">
      <c r="B89" s="16"/>
      <c r="C89" s="16"/>
      <c r="D89" s="16"/>
      <c r="E89" s="51"/>
      <c r="F89" s="51"/>
      <c r="G89" s="51"/>
      <c r="I89" s="57"/>
      <c r="J89" s="57"/>
      <c r="K89" s="57"/>
      <c r="L89" s="57"/>
      <c r="M89" s="57"/>
    </row>
    <row r="90" spans="2:13" x14ac:dyDescent="0.15">
      <c r="B90" s="16"/>
      <c r="C90" s="16"/>
      <c r="D90" s="16"/>
      <c r="E90" s="51"/>
      <c r="F90" s="51"/>
      <c r="G90" s="51"/>
      <c r="I90" s="57"/>
      <c r="J90" s="57"/>
      <c r="K90" s="57"/>
      <c r="L90" s="57"/>
      <c r="M90" s="57"/>
    </row>
    <row r="91" spans="2:13" x14ac:dyDescent="0.15">
      <c r="B91" s="16"/>
      <c r="C91" s="16"/>
      <c r="D91" s="16"/>
      <c r="E91" s="51"/>
      <c r="F91" s="51"/>
      <c r="G91" s="51"/>
      <c r="I91" s="57"/>
      <c r="J91" s="57"/>
      <c r="K91" s="57"/>
      <c r="L91" s="57"/>
      <c r="M91" s="57"/>
    </row>
    <row r="92" spans="2:13" x14ac:dyDescent="0.15">
      <c r="B92" s="16"/>
      <c r="C92" s="16"/>
      <c r="D92" s="16"/>
      <c r="E92" s="51"/>
      <c r="F92" s="51"/>
      <c r="G92" s="51"/>
    </row>
    <row r="93" spans="2:13" x14ac:dyDescent="0.15">
      <c r="B93" s="16"/>
      <c r="C93" s="16"/>
      <c r="D93" s="16"/>
      <c r="E93" s="51"/>
      <c r="F93" s="51"/>
      <c r="G93" s="51"/>
    </row>
    <row r="94" spans="2:13" x14ac:dyDescent="0.15">
      <c r="B94" s="16"/>
      <c r="C94" s="16"/>
      <c r="D94" s="16"/>
      <c r="E94" s="51"/>
      <c r="F94" s="51"/>
      <c r="G94" s="51"/>
    </row>
    <row r="95" spans="2:13" x14ac:dyDescent="0.15">
      <c r="B95" s="16"/>
      <c r="C95" s="16"/>
      <c r="D95" s="16"/>
      <c r="E95" s="51"/>
      <c r="F95" s="51"/>
      <c r="G95" s="51"/>
    </row>
    <row r="96" spans="2:13" x14ac:dyDescent="0.15">
      <c r="B96" s="16"/>
      <c r="C96" s="16"/>
      <c r="D96" s="16"/>
      <c r="E96" s="51"/>
      <c r="F96" s="51"/>
      <c r="G96" s="51"/>
    </row>
    <row r="97" spans="2:10" x14ac:dyDescent="0.15">
      <c r="B97" s="16"/>
      <c r="C97" s="16"/>
      <c r="D97" s="16"/>
      <c r="E97" s="51"/>
      <c r="F97" s="51"/>
      <c r="G97" s="51"/>
    </row>
    <row r="98" spans="2:10" x14ac:dyDescent="0.15">
      <c r="B98" s="16"/>
      <c r="C98" s="16"/>
      <c r="D98" s="16"/>
      <c r="E98" s="51"/>
      <c r="F98" s="51"/>
      <c r="G98" s="51"/>
    </row>
    <row r="99" spans="2:10" x14ac:dyDescent="0.15">
      <c r="B99" s="16"/>
      <c r="C99" s="16"/>
      <c r="D99" s="16"/>
      <c r="E99" s="51"/>
      <c r="F99" s="51"/>
      <c r="G99" s="51"/>
    </row>
    <row r="100" spans="2:10" x14ac:dyDescent="0.15">
      <c r="B100" s="16"/>
      <c r="C100" s="16"/>
      <c r="D100" s="16"/>
      <c r="E100" s="51"/>
      <c r="F100" s="51"/>
      <c r="G100" s="51"/>
    </row>
    <row r="101" spans="2:10" x14ac:dyDescent="0.15">
      <c r="B101" s="16"/>
      <c r="C101" s="16"/>
      <c r="D101" s="16"/>
      <c r="E101" s="51"/>
      <c r="F101" s="51"/>
      <c r="G101" s="51"/>
    </row>
    <row r="102" spans="2:10" x14ac:dyDescent="0.15">
      <c r="B102" s="16"/>
      <c r="C102" s="16"/>
      <c r="D102" s="16"/>
      <c r="E102" s="51"/>
      <c r="F102" s="51"/>
      <c r="G102" s="51"/>
      <c r="I102" s="49" t="s">
        <v>47</v>
      </c>
      <c r="J102" s="49" t="s">
        <v>48</v>
      </c>
    </row>
    <row r="103" spans="2:10" x14ac:dyDescent="0.15">
      <c r="B103" s="16"/>
      <c r="C103" s="16"/>
      <c r="D103" s="16"/>
      <c r="E103" s="51"/>
      <c r="F103" s="51"/>
      <c r="G103" s="51"/>
    </row>
    <row r="104" spans="2:10" x14ac:dyDescent="0.15">
      <c r="B104" s="16"/>
      <c r="C104" s="16"/>
      <c r="D104" s="16"/>
      <c r="E104" s="51"/>
      <c r="F104" s="51"/>
      <c r="G104" s="51"/>
    </row>
    <row r="105" spans="2:10" hidden="1" x14ac:dyDescent="0.15">
      <c r="B105" s="16"/>
      <c r="C105" s="16"/>
      <c r="D105" s="16"/>
      <c r="E105" s="51"/>
      <c r="F105" s="51"/>
      <c r="G105" s="51"/>
    </row>
  </sheetData>
  <mergeCells count="1">
    <mergeCell ref="I3:J3"/>
  </mergeCells>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15E71-2D00-6543-AE3E-6E938203E2BB}">
  <dimension ref="A1:E43"/>
  <sheetViews>
    <sheetView showGridLines="0" topLeftCell="A5" workbookViewId="0">
      <selection activeCell="E29" sqref="E29"/>
    </sheetView>
  </sheetViews>
  <sheetFormatPr baseColWidth="10" defaultRowHeight="14" x14ac:dyDescent="0.15"/>
  <cols>
    <col min="1" max="2" width="10.83203125" style="2"/>
    <col min="3" max="3" width="34.1640625" style="2" bestFit="1" customWidth="1"/>
    <col min="4" max="16384" width="10.83203125" style="2"/>
  </cols>
  <sheetData>
    <row r="1" spans="1:5" x14ac:dyDescent="0.15">
      <c r="A1" s="2" t="s">
        <v>119</v>
      </c>
    </row>
    <row r="2" spans="1:5" x14ac:dyDescent="0.15">
      <c r="A2" s="2" t="s">
        <v>120</v>
      </c>
      <c r="B2" s="2" t="s">
        <v>121</v>
      </c>
      <c r="C2" s="2" t="s">
        <v>122</v>
      </c>
      <c r="D2" s="28" t="s">
        <v>123</v>
      </c>
      <c r="E2" s="28" t="s">
        <v>124</v>
      </c>
    </row>
    <row r="3" spans="1:5" x14ac:dyDescent="0.15">
      <c r="A3" s="2">
        <v>6.2</v>
      </c>
      <c r="B3" s="2">
        <v>8.6</v>
      </c>
      <c r="C3" s="2" t="s">
        <v>61</v>
      </c>
      <c r="D3" s="2">
        <v>1</v>
      </c>
      <c r="E3" s="28">
        <v>10</v>
      </c>
    </row>
    <row r="4" spans="1:5" x14ac:dyDescent="0.15">
      <c r="A4" s="2">
        <v>6.1</v>
      </c>
      <c r="B4" s="2">
        <v>7.3</v>
      </c>
      <c r="C4" s="2" t="s">
        <v>62</v>
      </c>
      <c r="D4" s="2">
        <v>2</v>
      </c>
      <c r="E4" s="28">
        <v>3</v>
      </c>
    </row>
    <row r="5" spans="1:5" x14ac:dyDescent="0.15">
      <c r="A5" s="2">
        <v>7.2</v>
      </c>
      <c r="B5" s="2">
        <v>7.8</v>
      </c>
      <c r="C5" s="2" t="s">
        <v>63</v>
      </c>
      <c r="D5" s="2">
        <v>3</v>
      </c>
      <c r="E5" s="28">
        <v>4</v>
      </c>
    </row>
    <row r="6" spans="1:5" x14ac:dyDescent="0.15">
      <c r="A6" s="2">
        <v>8.1</v>
      </c>
      <c r="B6" s="2">
        <v>6.8</v>
      </c>
      <c r="C6" s="2" t="s">
        <v>64</v>
      </c>
      <c r="D6" s="2">
        <v>4</v>
      </c>
      <c r="E6" s="28">
        <v>6</v>
      </c>
    </row>
    <row r="7" spans="1:5" x14ac:dyDescent="0.15">
      <c r="A7" s="2">
        <v>7.2</v>
      </c>
      <c r="B7" s="2">
        <v>6.5</v>
      </c>
      <c r="C7" s="2" t="s">
        <v>65</v>
      </c>
      <c r="D7" s="2">
        <v>5</v>
      </c>
      <c r="E7" s="28">
        <v>2</v>
      </c>
    </row>
    <row r="8" spans="1:5" x14ac:dyDescent="0.15">
      <c r="A8" s="2">
        <v>5.9</v>
      </c>
      <c r="B8" s="2">
        <v>6.5</v>
      </c>
      <c r="C8" s="2" t="s">
        <v>66</v>
      </c>
      <c r="D8" s="2">
        <v>6</v>
      </c>
      <c r="E8" s="28">
        <v>6</v>
      </c>
    </row>
    <row r="9" spans="1:5" x14ac:dyDescent="0.15">
      <c r="A9" s="2">
        <v>4.8</v>
      </c>
      <c r="B9" s="2">
        <v>6.05</v>
      </c>
      <c r="C9" s="2" t="s">
        <v>67</v>
      </c>
      <c r="D9" s="2">
        <v>7</v>
      </c>
      <c r="E9" s="28">
        <v>4</v>
      </c>
    </row>
    <row r="10" spans="1:5" x14ac:dyDescent="0.15">
      <c r="A10" s="2">
        <v>3.7</v>
      </c>
      <c r="B10" s="2">
        <v>7.35</v>
      </c>
      <c r="C10" s="2" t="s">
        <v>68</v>
      </c>
      <c r="D10" s="2">
        <v>8</v>
      </c>
      <c r="E10" s="28">
        <v>1</v>
      </c>
    </row>
    <row r="11" spans="1:5" x14ac:dyDescent="0.15">
      <c r="A11" s="2">
        <v>2.5</v>
      </c>
      <c r="B11" s="2">
        <v>6.3</v>
      </c>
      <c r="C11" s="2" t="s">
        <v>69</v>
      </c>
      <c r="D11" s="2">
        <v>9</v>
      </c>
      <c r="E11" s="28">
        <v>8</v>
      </c>
    </row>
    <row r="12" spans="1:5" x14ac:dyDescent="0.15">
      <c r="A12" s="2">
        <v>2.5</v>
      </c>
      <c r="B12" s="2">
        <v>4.5999999999999996</v>
      </c>
      <c r="C12" s="2" t="s">
        <v>70</v>
      </c>
      <c r="D12" s="2">
        <v>10</v>
      </c>
      <c r="E12" s="28">
        <v>9</v>
      </c>
    </row>
    <row r="13" spans="1:5" x14ac:dyDescent="0.15">
      <c r="A13" s="2">
        <v>3.5</v>
      </c>
      <c r="B13" s="2">
        <v>5</v>
      </c>
      <c r="C13" s="2" t="s">
        <v>71</v>
      </c>
      <c r="D13" s="2">
        <v>11</v>
      </c>
      <c r="E13" s="28">
        <v>3</v>
      </c>
    </row>
    <row r="14" spans="1:5" x14ac:dyDescent="0.15">
      <c r="A14" s="2">
        <v>3.3</v>
      </c>
      <c r="B14" s="2">
        <v>4.3</v>
      </c>
      <c r="C14" s="2" t="s">
        <v>72</v>
      </c>
      <c r="D14" s="2">
        <v>12</v>
      </c>
      <c r="E14" s="28">
        <v>0</v>
      </c>
    </row>
    <row r="15" spans="1:5" x14ac:dyDescent="0.15">
      <c r="C15" s="2" t="s">
        <v>73</v>
      </c>
      <c r="D15" s="2">
        <v>13</v>
      </c>
      <c r="E15" s="28">
        <v>0</v>
      </c>
    </row>
    <row r="16" spans="1:5" x14ac:dyDescent="0.15">
      <c r="C16" s="2" t="s">
        <v>74</v>
      </c>
      <c r="D16" s="2">
        <v>14</v>
      </c>
    </row>
    <row r="17" spans="3:4" x14ac:dyDescent="0.15">
      <c r="C17" s="2" t="s">
        <v>75</v>
      </c>
      <c r="D17" s="2">
        <v>15</v>
      </c>
    </row>
    <row r="18" spans="3:4" x14ac:dyDescent="0.15">
      <c r="C18" s="2" t="s">
        <v>76</v>
      </c>
      <c r="D18" s="2">
        <v>16</v>
      </c>
    </row>
    <row r="19" spans="3:4" x14ac:dyDescent="0.15">
      <c r="C19" s="2" t="s">
        <v>77</v>
      </c>
      <c r="D19" s="2">
        <v>17</v>
      </c>
    </row>
    <row r="20" spans="3:4" x14ac:dyDescent="0.15">
      <c r="C20" s="2" t="s">
        <v>78</v>
      </c>
      <c r="D20" s="2">
        <v>18</v>
      </c>
    </row>
    <row r="21" spans="3:4" x14ac:dyDescent="0.15">
      <c r="C21" s="2" t="s">
        <v>79</v>
      </c>
      <c r="D21" s="2">
        <v>19</v>
      </c>
    </row>
    <row r="22" spans="3:4" x14ac:dyDescent="0.15">
      <c r="C22" s="2" t="s">
        <v>80</v>
      </c>
      <c r="D22" s="2">
        <v>20</v>
      </c>
    </row>
    <row r="23" spans="3:4" x14ac:dyDescent="0.15">
      <c r="C23" s="2" t="s">
        <v>81</v>
      </c>
      <c r="D23" s="2">
        <v>21</v>
      </c>
    </row>
    <row r="24" spans="3:4" x14ac:dyDescent="0.15">
      <c r="C24" s="2" t="s">
        <v>82</v>
      </c>
      <c r="D24" s="2">
        <v>22</v>
      </c>
    </row>
    <row r="25" spans="3:4" x14ac:dyDescent="0.15">
      <c r="C25" s="2" t="s">
        <v>83</v>
      </c>
      <c r="D25" s="2">
        <v>23</v>
      </c>
    </row>
    <row r="26" spans="3:4" x14ac:dyDescent="0.15">
      <c r="C26" s="2" t="s">
        <v>84</v>
      </c>
      <c r="D26" s="2">
        <v>24</v>
      </c>
    </row>
    <row r="27" spans="3:4" x14ac:dyDescent="0.15">
      <c r="C27" s="2" t="s">
        <v>85</v>
      </c>
      <c r="D27" s="2">
        <v>25</v>
      </c>
    </row>
    <row r="28" spans="3:4" x14ac:dyDescent="0.15">
      <c r="C28" s="2" t="s">
        <v>86</v>
      </c>
      <c r="D28" s="2">
        <v>26</v>
      </c>
    </row>
    <row r="29" spans="3:4" x14ac:dyDescent="0.15">
      <c r="C29" s="2" t="s">
        <v>87</v>
      </c>
      <c r="D29" s="2">
        <v>27</v>
      </c>
    </row>
    <row r="30" spans="3:4" x14ac:dyDescent="0.15">
      <c r="C30" s="2" t="s">
        <v>88</v>
      </c>
      <c r="D30" s="2">
        <v>28</v>
      </c>
    </row>
    <row r="31" spans="3:4" x14ac:dyDescent="0.15">
      <c r="C31" s="2" t="s">
        <v>89</v>
      </c>
      <c r="D31" s="2">
        <v>29</v>
      </c>
    </row>
    <row r="32" spans="3:4" x14ac:dyDescent="0.15">
      <c r="C32" s="2" t="s">
        <v>90</v>
      </c>
      <c r="D32" s="2">
        <v>30</v>
      </c>
    </row>
    <row r="33" spans="1:5" x14ac:dyDescent="0.15">
      <c r="C33" s="2" t="s">
        <v>91</v>
      </c>
      <c r="D33" s="2">
        <v>31</v>
      </c>
    </row>
    <row r="34" spans="1:5" x14ac:dyDescent="0.15">
      <c r="C34" s="2" t="s">
        <v>92</v>
      </c>
      <c r="D34" s="2">
        <v>32</v>
      </c>
    </row>
    <row r="35" spans="1:5" x14ac:dyDescent="0.15">
      <c r="C35" s="2" t="s">
        <v>93</v>
      </c>
      <c r="D35" s="2">
        <v>33</v>
      </c>
    </row>
    <row r="36" spans="1:5" x14ac:dyDescent="0.15">
      <c r="C36" s="2" t="s">
        <v>94</v>
      </c>
      <c r="D36" s="2">
        <v>34</v>
      </c>
    </row>
    <row r="37" spans="1:5" x14ac:dyDescent="0.15">
      <c r="C37" s="2" t="s">
        <v>95</v>
      </c>
      <c r="D37" s="2">
        <v>35</v>
      </c>
    </row>
    <row r="38" spans="1:5" x14ac:dyDescent="0.15">
      <c r="C38" s="2" t="s">
        <v>96</v>
      </c>
      <c r="D38" s="2">
        <v>36</v>
      </c>
    </row>
    <row r="39" spans="1:5" x14ac:dyDescent="0.15">
      <c r="C39" s="2" t="s">
        <v>97</v>
      </c>
      <c r="D39" s="2">
        <v>37</v>
      </c>
    </row>
    <row r="40" spans="1:5" x14ac:dyDescent="0.15">
      <c r="C40" s="2" t="s">
        <v>98</v>
      </c>
      <c r="D40" s="2">
        <v>38</v>
      </c>
    </row>
    <row r="41" spans="1:5" x14ac:dyDescent="0.15">
      <c r="C41" s="2" t="s">
        <v>99</v>
      </c>
      <c r="D41" s="2">
        <v>39</v>
      </c>
    </row>
    <row r="42" spans="1:5" x14ac:dyDescent="0.15">
      <c r="C42" s="2" t="s">
        <v>100</v>
      </c>
      <c r="D42" s="2">
        <v>40</v>
      </c>
    </row>
    <row r="43" spans="1:5" x14ac:dyDescent="0.15">
      <c r="A43" s="2">
        <v>6.2</v>
      </c>
      <c r="B43" s="2">
        <v>1.2</v>
      </c>
      <c r="C43" s="2" t="s">
        <v>101</v>
      </c>
      <c r="D43" s="2">
        <v>41</v>
      </c>
      <c r="E43" s="28">
        <v>6</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1:AH61"/>
  <sheetViews>
    <sheetView showGridLines="0" workbookViewId="0">
      <selection activeCell="O18" sqref="O18"/>
    </sheetView>
  </sheetViews>
  <sheetFormatPr baseColWidth="10" defaultColWidth="9" defaultRowHeight="14" x14ac:dyDescent="0.15"/>
  <cols>
    <col min="1" max="1" width="2.5" customWidth="1"/>
    <col min="2" max="2" width="17.6640625" bestFit="1" customWidth="1"/>
    <col min="3" max="3" width="11" style="58" bestFit="1" customWidth="1"/>
    <col min="4" max="7" width="9.1640625" customWidth="1"/>
    <col min="8" max="8" width="21.6640625" customWidth="1"/>
    <col min="9" max="10" width="9.1640625" customWidth="1"/>
    <col min="11" max="11" width="15.83203125" customWidth="1"/>
    <col min="12" max="12" width="2.6640625" customWidth="1"/>
    <col min="13" max="13" width="7.1640625" customWidth="1"/>
    <col min="14" max="14" width="10.6640625" customWidth="1"/>
    <col min="15" max="15" width="19.1640625" customWidth="1"/>
    <col min="16" max="16" width="17.83203125" bestFit="1" customWidth="1"/>
    <col min="17" max="17" width="16.1640625" bestFit="1" customWidth="1"/>
    <col min="18" max="18" width="13.5" customWidth="1"/>
    <col min="19" max="19" width="16.33203125" bestFit="1" customWidth="1"/>
    <col min="20" max="20" width="9.5" bestFit="1" customWidth="1"/>
    <col min="21" max="21" width="13.5" customWidth="1"/>
    <col min="22" max="22" width="4.5" customWidth="1"/>
    <col min="26" max="28" width="9.1640625" customWidth="1"/>
    <col min="29" max="29" width="3.5" customWidth="1"/>
    <col min="30" max="32" width="8.5" customWidth="1"/>
    <col min="33" max="33" width="11.83203125" customWidth="1"/>
  </cols>
  <sheetData>
    <row r="1" spans="2:32" ht="39" x14ac:dyDescent="0.15">
      <c r="K1" s="7" t="s">
        <v>30</v>
      </c>
    </row>
    <row r="2" spans="2:32" ht="15" customHeight="1" thickBot="1" x14ac:dyDescent="0.2">
      <c r="K2" s="8"/>
      <c r="Q2" s="29"/>
      <c r="R2" s="10"/>
      <c r="S2" s="10"/>
    </row>
    <row r="3" spans="2:32" ht="15" thickBot="1" x14ac:dyDescent="0.2">
      <c r="B3" s="3" t="s">
        <v>18</v>
      </c>
      <c r="C3" s="60" t="s">
        <v>6</v>
      </c>
      <c r="D3" s="3" t="s">
        <v>9</v>
      </c>
      <c r="E3" s="3" t="s">
        <v>25</v>
      </c>
      <c r="F3" s="3" t="s">
        <v>26</v>
      </c>
      <c r="G3" s="3" t="s">
        <v>27</v>
      </c>
      <c r="H3" s="3" t="s">
        <v>28</v>
      </c>
      <c r="I3" s="3" t="s">
        <v>29</v>
      </c>
      <c r="J3" s="3" t="s">
        <v>31</v>
      </c>
      <c r="K3" s="9" t="s">
        <v>8</v>
      </c>
      <c r="N3" s="23" t="s">
        <v>22</v>
      </c>
      <c r="O3" s="24"/>
      <c r="Q3" s="35" t="s">
        <v>16</v>
      </c>
      <c r="R3" s="45" t="s">
        <v>11</v>
      </c>
      <c r="S3" s="44" t="s">
        <v>41</v>
      </c>
      <c r="U3" s="23" t="s">
        <v>20</v>
      </c>
      <c r="V3" s="25"/>
      <c r="W3" s="25"/>
      <c r="X3" s="24"/>
      <c r="Z3" s="2"/>
      <c r="AA3" s="42"/>
      <c r="AB3" s="43">
        <v>1</v>
      </c>
      <c r="AD3" s="44" t="s">
        <v>34</v>
      </c>
      <c r="AE3" s="44"/>
      <c r="AF3" s="45" t="s">
        <v>37</v>
      </c>
    </row>
    <row r="4" spans="2:32" x14ac:dyDescent="0.15">
      <c r="B4" s="79" t="s">
        <v>61</v>
      </c>
      <c r="C4" s="80">
        <v>1</v>
      </c>
      <c r="D4" s="4">
        <f ca="1">OFFSET(DataEntry!$B$3,ROWS($D$4:D4),Calculation!$V$5-1)</f>
        <v>0</v>
      </c>
      <c r="E4" s="4">
        <f ca="1">MapDataTbl[[#This Row],[Value]]+ROWS($E$4:E4)*0.000001</f>
        <v>9.9999999999999995E-7</v>
      </c>
      <c r="F4" s="4">
        <f ca="1">RANK(MapDataTbl[[#This Row],[Value+]],MapDataTbl[Value+],0)</f>
        <v>41</v>
      </c>
      <c r="G4" s="6">
        <v>1</v>
      </c>
      <c r="H4" s="4" t="str">
        <f ca="1">INDEX(MapDataTbl[[Location]:[Value]],MATCH(MapDataTbl[[#This Row],[Position]],MapDataTbl[Rank],0),1)</f>
        <v>Yerwada</v>
      </c>
      <c r="I4" s="4">
        <f ca="1">INDEX(MapDataTbl[[Location]:[Value]],MATCH(MapDataTbl[[#This Row],[Position]],MapDataTbl[Rank],0),3)</f>
        <v>3</v>
      </c>
      <c r="J4" s="11">
        <f ca="1">MapDataTbl[[#This Row],[Top Value]]/SUM(MapDataTbl[Top Value])</f>
        <v>0.3</v>
      </c>
      <c r="K4" s="9">
        <f ca="1">MATCH(MapDataTbl[[#This Row],[Value]],BinArray_1,1)</f>
        <v>1</v>
      </c>
      <c r="N4" s="15" t="s">
        <v>14</v>
      </c>
      <c r="O4" s="21">
        <f t="array" aca="1" ref="O4" ca="1">MIN(IF(MapDataTbl[Value]&gt;0,MapDataTbl[Value]))</f>
        <v>1</v>
      </c>
      <c r="P4" s="2"/>
      <c r="Q4" s="36" t="str">
        <f t="shared" ref="Q4:Q9" si="0">O12</f>
        <v>0</v>
      </c>
      <c r="R4" s="37">
        <f t="shared" ref="R4:R9" ca="1" si="1">CHOOSE(KeyOptionValue,P12,P22,P32)</f>
        <v>34</v>
      </c>
      <c r="S4" s="37">
        <f t="shared" ref="S4:S7" si="2">CHOOSE(KeyOptionValue,N12,N22,N32)</f>
        <v>0</v>
      </c>
      <c r="U4" s="15" t="s">
        <v>19</v>
      </c>
      <c r="V4" s="16">
        <f>COUNTA(GeoTable4[#Headers])-2</f>
        <v>4</v>
      </c>
      <c r="W4" s="2"/>
      <c r="X4" s="17"/>
      <c r="Z4" s="27"/>
      <c r="AA4" s="27"/>
      <c r="AB4" s="27"/>
      <c r="AD4" s="45" t="s">
        <v>0</v>
      </c>
      <c r="AE4" s="45" t="s">
        <v>1</v>
      </c>
      <c r="AF4" s="45" t="s">
        <v>2</v>
      </c>
    </row>
    <row r="5" spans="2:32" ht="15" thickBot="1" x14ac:dyDescent="0.2">
      <c r="B5" s="79" t="s">
        <v>62</v>
      </c>
      <c r="C5" s="80">
        <v>2</v>
      </c>
      <c r="D5" s="4">
        <f ca="1">OFFSET(DataEntry!$B$3,ROWS($D$4:D5),Calculation!$V$5-1)</f>
        <v>0</v>
      </c>
      <c r="E5" s="4">
        <f ca="1">MapDataTbl[[#This Row],[Value]]+ROWS($E$4:E5)*0.000001</f>
        <v>1.9999999999999999E-6</v>
      </c>
      <c r="F5" s="4">
        <f ca="1">RANK(MapDataTbl[[#This Row],[Value+]],MapDataTbl[Value+],0)</f>
        <v>40</v>
      </c>
      <c r="G5" s="6">
        <v>2</v>
      </c>
      <c r="H5" s="4" t="str">
        <f ca="1">INDEX(MapDataTbl[[Location]:[Value]],MATCH(MapDataTbl[[#This Row],[Position]],MapDataTbl[Rank],0),1)</f>
        <v>Mahammadwadi- Kausar Baug</v>
      </c>
      <c r="I5" s="4">
        <f ca="1">INDEX(MapDataTbl[[Location]:[Value]],MATCH(MapDataTbl[[#This Row],[Position]],MapDataTbl[Rank],0),3)</f>
        <v>2</v>
      </c>
      <c r="J5" s="11">
        <f ca="1">MapDataTbl[[#This Row],[Top Value]]/SUM(MapDataTbl[Top Value])</f>
        <v>0.2</v>
      </c>
      <c r="K5" s="9">
        <f ca="1">MATCH(MapDataTbl[[#This Row],[Value]],BinArray_1,1)</f>
        <v>1</v>
      </c>
      <c r="N5" s="15" t="s">
        <v>13</v>
      </c>
      <c r="O5" s="21">
        <f ca="1">MAX(MapDataTbl[Value])</f>
        <v>3</v>
      </c>
      <c r="P5" s="2"/>
      <c r="Q5" s="36" t="str">
        <f t="shared" si="0"/>
        <v>0.01-0.35</v>
      </c>
      <c r="R5" s="37">
        <f t="shared" ca="1" si="1"/>
        <v>0</v>
      </c>
      <c r="S5" s="37">
        <f>CHOOSE(KeyOptionValue,N13,N23,N33)</f>
        <v>0.35</v>
      </c>
      <c r="U5" s="18" t="s">
        <v>21</v>
      </c>
      <c r="V5" s="19">
        <f>MATCH(SelectedDataColumn,GeoTable4[#Headers],0)</f>
        <v>5</v>
      </c>
      <c r="W5" s="19" t="str">
        <f ca="1">OFFSET(DataEntry!$B$3,0,V5-1)</f>
        <v>last 21 days</v>
      </c>
      <c r="X5" s="20"/>
      <c r="Y5" s="12"/>
      <c r="Z5" s="10"/>
      <c r="AA5" s="10"/>
      <c r="AB5" s="10"/>
      <c r="AD5" s="37">
        <v>255</v>
      </c>
      <c r="AE5" s="37">
        <v>255</v>
      </c>
      <c r="AF5" s="37">
        <v>255</v>
      </c>
    </row>
    <row r="6" spans="2:32" x14ac:dyDescent="0.15">
      <c r="B6" s="79" t="s">
        <v>63</v>
      </c>
      <c r="C6" s="80">
        <v>3</v>
      </c>
      <c r="D6" s="4">
        <f ca="1">OFFSET(DataEntry!$B$3,ROWS($D$4:D6),Calculation!$V$5-1)</f>
        <v>0</v>
      </c>
      <c r="E6" s="4">
        <f ca="1">MapDataTbl[[#This Row],[Value]]+ROWS($E$4:E6)*0.000001</f>
        <v>3.0000000000000001E-6</v>
      </c>
      <c r="F6" s="4">
        <f ca="1">RANK(MapDataTbl[[#This Row],[Value+]],MapDataTbl[Value+],0)</f>
        <v>39</v>
      </c>
      <c r="G6" s="6">
        <v>3</v>
      </c>
      <c r="H6" s="4" t="str">
        <f ca="1">INDEX(MapDataTbl[[Location]:[Value]],MATCH(MapDataTbl[[#This Row],[Position]],MapDataTbl[Rank],0),1)</f>
        <v>Kondhawa Budruk- Yewalewadi</v>
      </c>
      <c r="I6" s="4">
        <f ca="1">INDEX(MapDataTbl[[Location]:[Value]],MATCH(MapDataTbl[[#This Row],[Position]],MapDataTbl[Rank],0),3)</f>
        <v>1</v>
      </c>
      <c r="J6" s="11">
        <f ca="1">MapDataTbl[[#This Row],[Top Value]]/SUM(MapDataTbl[Top Value])</f>
        <v>0.1</v>
      </c>
      <c r="K6" s="9">
        <f ca="1">MATCH(MapDataTbl[[#This Row],[Value]],BinArray_1,1)</f>
        <v>1</v>
      </c>
      <c r="N6" s="15" t="s">
        <v>12</v>
      </c>
      <c r="O6" s="21">
        <f ca="1">O5-O4</f>
        <v>2</v>
      </c>
      <c r="P6" s="2"/>
      <c r="Q6" s="36" t="str">
        <f t="shared" si="0"/>
        <v>0.35-0.7</v>
      </c>
      <c r="R6" s="37">
        <f ca="1">CHOOSE(KeyOptionValue,P14,P24,P34)</f>
        <v>0</v>
      </c>
      <c r="S6" s="37">
        <f t="shared" si="2"/>
        <v>0.7</v>
      </c>
      <c r="Y6" s="5"/>
      <c r="Z6" s="10"/>
      <c r="AA6" s="10"/>
      <c r="AB6" s="10"/>
      <c r="AD6" s="37">
        <v>255</v>
      </c>
      <c r="AE6" s="37">
        <v>255</v>
      </c>
      <c r="AF6" s="37">
        <v>0</v>
      </c>
    </row>
    <row r="7" spans="2:32" x14ac:dyDescent="0.15">
      <c r="B7" s="79" t="s">
        <v>64</v>
      </c>
      <c r="C7" s="80">
        <v>4</v>
      </c>
      <c r="D7" s="4">
        <f ca="1">OFFSET(DataEntry!$B$3,ROWS($D$4:D7),Calculation!$V$5-1)</f>
        <v>0</v>
      </c>
      <c r="E7" s="4">
        <f ca="1">MapDataTbl[[#This Row],[Value]]+ROWS($E$4:E7)*0.000001</f>
        <v>3.9999999999999998E-6</v>
      </c>
      <c r="F7" s="4">
        <f ca="1">RANK(MapDataTbl[[#This Row],[Value+]],MapDataTbl[Value+],0)</f>
        <v>38</v>
      </c>
      <c r="G7" s="6">
        <v>4</v>
      </c>
      <c r="H7" s="4" t="str">
        <f ca="1">INDEX(MapDataTbl[[Location]:[Value]],MATCH(MapDataTbl[[#This Row],[Position]],MapDataTbl[Rank],0),1)</f>
        <v>Uppar Super Indira Nagar</v>
      </c>
      <c r="I7" s="4">
        <f ca="1">INDEX(MapDataTbl[[Location]:[Value]],MATCH(MapDataTbl[[#This Row],[Position]],MapDataTbl[Rank],0),3)</f>
        <v>1</v>
      </c>
      <c r="J7" s="11">
        <f ca="1">MapDataTbl[[#This Row],[Top Value]]/SUM(MapDataTbl[Top Value])</f>
        <v>0.1</v>
      </c>
      <c r="K7" s="9">
        <f ca="1">MATCH(MapDataTbl[[#This Row],[Value]],BinArray_1,1)</f>
        <v>1</v>
      </c>
      <c r="N7" s="15" t="s">
        <v>15</v>
      </c>
      <c r="O7" s="21">
        <f ca="1">MEDIAN(MapDataTbl[Value])</f>
        <v>0</v>
      </c>
      <c r="P7" s="2"/>
      <c r="Q7" s="46" t="str">
        <f t="shared" si="0"/>
        <v>0.71-0.105</v>
      </c>
      <c r="R7" s="37">
        <f t="shared" ca="1" si="1"/>
        <v>5</v>
      </c>
      <c r="S7" s="37">
        <f t="shared" si="2"/>
        <v>1.0499999999999998</v>
      </c>
      <c r="Y7" s="5"/>
      <c r="Z7" s="10"/>
      <c r="AA7" s="10"/>
      <c r="AB7" s="10"/>
      <c r="AD7" s="37">
        <v>255</v>
      </c>
      <c r="AE7" s="37">
        <v>165</v>
      </c>
      <c r="AF7" s="37">
        <v>0</v>
      </c>
    </row>
    <row r="8" spans="2:32" ht="15" thickBot="1" x14ac:dyDescent="0.2">
      <c r="B8" s="79" t="s">
        <v>65</v>
      </c>
      <c r="C8" s="80">
        <v>5</v>
      </c>
      <c r="D8" s="4">
        <f ca="1">OFFSET(DataEntry!$B$3,ROWS($D$4:D8),Calculation!$V$5-1)</f>
        <v>0</v>
      </c>
      <c r="E8" s="4">
        <f ca="1">MapDataTbl[[#This Row],[Value]]+ROWS($E$4:E8)*0.000001</f>
        <v>4.9999999999999996E-6</v>
      </c>
      <c r="F8" s="4">
        <f ca="1">RANK(MapDataTbl[[#This Row],[Value+]],MapDataTbl[Value+],0)</f>
        <v>37</v>
      </c>
      <c r="G8" s="6">
        <v>5</v>
      </c>
      <c r="H8" s="4" t="str">
        <f ca="1">INDEX(MapDataTbl[[Location]:[Value]],MATCH(MapDataTbl[[#This Row],[Position]],MapDataTbl[Rank],0),1)</f>
        <v>Rasta Peth- Ravivar Peth</v>
      </c>
      <c r="I8" s="4">
        <f ca="1">INDEX(MapDataTbl[[Location]:[Value]],MATCH(MapDataTbl[[#This Row],[Position]],MapDataTbl[Rank],0),3)</f>
        <v>1</v>
      </c>
      <c r="J8" s="11">
        <f ca="1">MapDataTbl[[#This Row],[Top Value]]/SUM(MapDataTbl[Top Value])</f>
        <v>0.1</v>
      </c>
      <c r="K8" s="9">
        <f ca="1">MATCH(MapDataTbl[[#This Row],[Value]],BinArray_1,1)</f>
        <v>1</v>
      </c>
      <c r="N8" s="18" t="s">
        <v>17</v>
      </c>
      <c r="O8" s="22">
        <v>1</v>
      </c>
      <c r="P8" s="2"/>
      <c r="Q8" s="46" t="str">
        <f t="shared" si="0"/>
        <v>0.106-1.4</v>
      </c>
      <c r="R8" s="37">
        <f t="shared" ca="1" si="1"/>
        <v>0</v>
      </c>
      <c r="S8" s="37">
        <f>CHOOSE(KeyOptionValue,N16,N26,N36)</f>
        <v>1.4</v>
      </c>
      <c r="Y8" s="5"/>
      <c r="Z8" s="10"/>
      <c r="AA8" s="10"/>
      <c r="AB8" s="10"/>
      <c r="AD8" s="37">
        <v>255</v>
      </c>
      <c r="AE8" s="37">
        <v>69</v>
      </c>
      <c r="AF8" s="37">
        <v>0</v>
      </c>
    </row>
    <row r="9" spans="2:32" x14ac:dyDescent="0.15">
      <c r="B9" s="79" t="s">
        <v>66</v>
      </c>
      <c r="C9" s="80">
        <v>6</v>
      </c>
      <c r="D9" s="4">
        <f ca="1">OFFSET(DataEntry!$B$3,ROWS($D$4:D9),Calculation!$V$5-1)</f>
        <v>3</v>
      </c>
      <c r="E9" s="4">
        <f ca="1">MapDataTbl[[#This Row],[Value]]+ROWS($E$4:E9)*0.000001</f>
        <v>3.000006</v>
      </c>
      <c r="F9" s="4">
        <f ca="1">RANK(MapDataTbl[[#This Row],[Value+]],MapDataTbl[Value+],0)</f>
        <v>1</v>
      </c>
      <c r="G9" s="6">
        <v>6</v>
      </c>
      <c r="H9" s="4" t="str">
        <f ca="1">INDEX(MapDataTbl[[Location]:[Value]],MATCH(MapDataTbl[[#This Row],[Position]],MapDataTbl[Rank],0),1)</f>
        <v>Kasba Peth- Somwar Peth</v>
      </c>
      <c r="I9" s="4">
        <f ca="1">INDEX(MapDataTbl[[Location]:[Value]],MATCH(MapDataTbl[[#This Row],[Position]],MapDataTbl[Rank],0),3)</f>
        <v>1</v>
      </c>
      <c r="J9" s="11">
        <f ca="1">MapDataTbl[[#This Row],[Top Value]]/SUM(MapDataTbl[Top Value])</f>
        <v>0.1</v>
      </c>
      <c r="K9" s="9">
        <f ca="1">MATCH(MapDataTbl[[#This Row],[Value]],BinArray_1,1)</f>
        <v>6</v>
      </c>
      <c r="P9" s="2"/>
      <c r="Q9" s="36" t="str">
        <f t="shared" si="0"/>
        <v>1.41-1.75</v>
      </c>
      <c r="R9" s="37">
        <f t="shared" ca="1" si="1"/>
        <v>0</v>
      </c>
      <c r="S9" s="37">
        <f>CHOOSE(KeyOptionValue,N17,N27,N37)</f>
        <v>1.75</v>
      </c>
      <c r="Y9" s="5"/>
      <c r="Z9" s="10"/>
      <c r="AA9" s="10"/>
      <c r="AB9" s="10"/>
      <c r="AD9" s="37">
        <v>255</v>
      </c>
      <c r="AE9" s="37">
        <v>0</v>
      </c>
      <c r="AF9" s="37">
        <v>0</v>
      </c>
    </row>
    <row r="10" spans="2:32" x14ac:dyDescent="0.15">
      <c r="B10" s="79" t="s">
        <v>67</v>
      </c>
      <c r="C10" s="80">
        <v>7</v>
      </c>
      <c r="D10" s="4">
        <f ca="1">OFFSET(DataEntry!$B$3,ROWS($D$4:D10),Calculation!$V$5-1)</f>
        <v>0</v>
      </c>
      <c r="E10" s="4">
        <f ca="1">MapDataTbl[[#This Row],[Value]]+ROWS($E$4:E10)*0.000001</f>
        <v>6.9999999999999999E-6</v>
      </c>
      <c r="F10" s="4">
        <f ca="1">RANK(MapDataTbl[[#This Row],[Value+]],MapDataTbl[Value+],0)</f>
        <v>36</v>
      </c>
      <c r="G10" s="6">
        <v>7</v>
      </c>
      <c r="H10" s="4" t="str">
        <f ca="1">INDEX(MapDataTbl[[Location]:[Value]],MATCH(MapDataTbl[[#This Row],[Position]],MapDataTbl[Rank],0),1)</f>
        <v>Mayur Colony- Dahanukar Colony</v>
      </c>
      <c r="I10" s="4">
        <f ca="1">INDEX(MapDataTbl[[Location]:[Value]],MATCH(MapDataTbl[[#This Row],[Position]],MapDataTbl[Rank],0),3)</f>
        <v>1</v>
      </c>
      <c r="J10" s="11">
        <f ca="1">MapDataTbl[[#This Row],[Top Value]]/SUM(MapDataTbl[Top Value])</f>
        <v>0.1</v>
      </c>
      <c r="K10" s="9">
        <f ca="1">MATCH(MapDataTbl[[#This Row],[Value]],BinArray_1,1)</f>
        <v>1</v>
      </c>
      <c r="N10" s="93" t="s">
        <v>40</v>
      </c>
      <c r="O10" s="93"/>
      <c r="P10" s="93"/>
      <c r="Q10" s="2"/>
      <c r="R10" s="2"/>
      <c r="S10" s="2"/>
      <c r="Y10" s="33"/>
      <c r="Z10" s="30"/>
      <c r="AA10" s="30"/>
      <c r="AB10" s="30"/>
      <c r="AC10" s="28"/>
      <c r="AD10" s="37"/>
      <c r="AE10" s="37"/>
      <c r="AF10" s="37"/>
    </row>
    <row r="11" spans="2:32" ht="15" thickBot="1" x14ac:dyDescent="0.2">
      <c r="B11" s="79" t="s">
        <v>68</v>
      </c>
      <c r="C11" s="80">
        <v>8</v>
      </c>
      <c r="D11" s="4">
        <f ca="1">OFFSET(DataEntry!$B$3,ROWS($D$4:D11),Calculation!$V$5-1)</f>
        <v>0</v>
      </c>
      <c r="E11" s="4">
        <f ca="1">MapDataTbl[[#This Row],[Value]]+ROWS($E$4:E11)*0.000001</f>
        <v>7.9999999999999996E-6</v>
      </c>
      <c r="F11" s="4">
        <f ca="1">RANK(MapDataTbl[[#This Row],[Value+]],MapDataTbl[Value+],0)</f>
        <v>35</v>
      </c>
      <c r="G11" s="6">
        <v>8</v>
      </c>
      <c r="H11" s="4" t="str">
        <f ca="1">INDEX(MapDataTbl[[Location]:[Value]],MATCH(MapDataTbl[[#This Row],[Position]],MapDataTbl[Rank],0),1)</f>
        <v>Ambegaon Datta Nagar- Katraj Gaothan</v>
      </c>
      <c r="I11" s="4">
        <f ca="1">INDEX(MapDataTbl[[Location]:[Value]],MATCH(MapDataTbl[[#This Row],[Position]],MapDataTbl[Rank],0),3)</f>
        <v>0</v>
      </c>
      <c r="J11" s="11">
        <f ca="1">MapDataTbl[[#This Row],[Top Value]]/SUM(MapDataTbl[Top Value])</f>
        <v>0</v>
      </c>
      <c r="K11" s="9">
        <f ca="1">MATCH(MapDataTbl[[#This Row],[Value]],BinArray_1,1)</f>
        <v>1</v>
      </c>
      <c r="N11" s="93" t="s">
        <v>23</v>
      </c>
      <c r="O11" s="93" t="s">
        <v>10</v>
      </c>
      <c r="P11" s="93" t="s">
        <v>11</v>
      </c>
      <c r="Y11" s="34"/>
      <c r="Z11" s="30"/>
      <c r="AA11" s="30"/>
      <c r="AB11" s="30"/>
      <c r="AC11" s="28"/>
      <c r="AD11" s="28"/>
    </row>
    <row r="12" spans="2:32" ht="15" thickBot="1" x14ac:dyDescent="0.2">
      <c r="B12" s="79" t="s">
        <v>69</v>
      </c>
      <c r="C12" s="80">
        <v>9</v>
      </c>
      <c r="D12" s="4">
        <f ca="1">OFFSET(DataEntry!$B$3,ROWS($D$4:D12),Calculation!$V$5-1)</f>
        <v>0</v>
      </c>
      <c r="E12" s="4">
        <f ca="1">MapDataTbl[[#This Row],[Value]]+ROWS($E$4:E12)*0.000001</f>
        <v>9.0000000000000002E-6</v>
      </c>
      <c r="F12" s="4">
        <f ca="1">RANK(MapDataTbl[[#This Row],[Value+]],MapDataTbl[Value+],0)</f>
        <v>34</v>
      </c>
      <c r="G12" s="6">
        <v>9</v>
      </c>
      <c r="H12" s="4" t="str">
        <f ca="1">INDEX(MapDataTbl[[Location]:[Value]],MATCH(MapDataTbl[[#This Row],[Position]],MapDataTbl[Rank],0),1)</f>
        <v>Dhankawadi- Ambegaon Pathar</v>
      </c>
      <c r="I12" s="4">
        <f ca="1">INDEX(MapDataTbl[[Location]:[Value]],MATCH(MapDataTbl[[#This Row],[Position]],MapDataTbl[Rank],0),3)</f>
        <v>0</v>
      </c>
      <c r="J12" s="11">
        <f ca="1">MapDataTbl[[#This Row],[Top Value]]/SUM(MapDataTbl[Top Value])</f>
        <v>0</v>
      </c>
      <c r="K12" s="9">
        <f ca="1">MATCH(MapDataTbl[[#This Row],[Value]],BinArray_1,1)</f>
        <v>1</v>
      </c>
      <c r="N12" s="94">
        <v>0</v>
      </c>
      <c r="O12" s="94" t="str">
        <f>"0"</f>
        <v>0</v>
      </c>
      <c r="P12" s="94">
        <f t="array" aca="1" ref="P12:P17" ca="1">FREQUENCY($D$4:$D$44,$N$12:$N$17)</f>
        <v>34</v>
      </c>
      <c r="R12" s="23" t="s">
        <v>32</v>
      </c>
      <c r="S12" s="24"/>
      <c r="U12" s="29"/>
      <c r="V12" s="2"/>
      <c r="Y12" s="34"/>
      <c r="Z12" s="30"/>
      <c r="AA12" s="30"/>
      <c r="AB12" s="30"/>
      <c r="AC12" s="28"/>
      <c r="AD12" s="28"/>
    </row>
    <row r="13" spans="2:32" x14ac:dyDescent="0.15">
      <c r="B13" s="79" t="s">
        <v>70</v>
      </c>
      <c r="C13" s="80">
        <v>10</v>
      </c>
      <c r="D13" s="4">
        <f ca="1">OFFSET(DataEntry!$B$3,ROWS($D$4:D13),Calculation!$V$5-1)</f>
        <v>0</v>
      </c>
      <c r="E13" s="4">
        <f ca="1">MapDataTbl[[#This Row],[Value]]+ROWS($E$4:E13)*0.000001</f>
        <v>9.9999999999999991E-6</v>
      </c>
      <c r="F13" s="4">
        <f ca="1">RANK(MapDataTbl[[#This Row],[Value+]],MapDataTbl[Value+],0)</f>
        <v>33</v>
      </c>
      <c r="G13" s="6">
        <v>10</v>
      </c>
      <c r="H13" s="4" t="str">
        <f ca="1">INDEX(MapDataTbl[[Location]:[Value]],MATCH(MapDataTbl[[#This Row],[Position]],MapDataTbl[Rank],0),1)</f>
        <v>Balaji Nagar- Rajiv Gandhi Nagar</v>
      </c>
      <c r="I13" s="4">
        <f ca="1">INDEX(MapDataTbl[[Location]:[Value]],MATCH(MapDataTbl[[#This Row],[Position]],MapDataTbl[Rank],0),3)</f>
        <v>0</v>
      </c>
      <c r="J13" s="11">
        <f ca="1">MapDataTbl[[#This Row],[Top Value]]/SUM(MapDataTbl[Top Value])</f>
        <v>0</v>
      </c>
      <c r="K13" s="9">
        <f ca="1">MATCH(MapDataTbl[[#This Row],[Value]],BinArray_1,1)</f>
        <v>1</v>
      </c>
      <c r="N13" s="94">
        <v>0.35</v>
      </c>
      <c r="O13" s="94" t="str">
        <f>"0.01-0.35"</f>
        <v>0.01-0.35</v>
      </c>
      <c r="P13" s="94">
        <f ca="1"/>
        <v>0</v>
      </c>
      <c r="R13" s="15" t="str">
        <f t="shared" ref="R13:S15" ca="1" si="3">H4</f>
        <v>Yerwada</v>
      </c>
      <c r="S13" s="13">
        <f t="shared" ca="1" si="3"/>
        <v>3</v>
      </c>
      <c r="U13" s="30"/>
      <c r="V13" s="2"/>
      <c r="Y13" s="34"/>
      <c r="Z13" s="30"/>
      <c r="AA13" s="30"/>
      <c r="AB13" s="30"/>
      <c r="AC13" s="28"/>
      <c r="AD13" s="28"/>
    </row>
    <row r="14" spans="2:32" x14ac:dyDescent="0.15">
      <c r="B14" s="79" t="s">
        <v>71</v>
      </c>
      <c r="C14" s="80">
        <v>11</v>
      </c>
      <c r="D14" s="4">
        <f ca="1">OFFSET(DataEntry!$B$3,ROWS($D$4:D14),Calculation!$V$5-1)</f>
        <v>0</v>
      </c>
      <c r="E14" s="4">
        <f ca="1">MapDataTbl[[#This Row],[Value]]+ROWS($E$4:E14)*0.000001</f>
        <v>1.1E-5</v>
      </c>
      <c r="F14" s="4">
        <f ca="1">RANK(MapDataTbl[[#This Row],[Value+]],MapDataTbl[Value+],0)</f>
        <v>32</v>
      </c>
      <c r="G14" s="6">
        <v>11</v>
      </c>
      <c r="H14" s="4" t="str">
        <f ca="1">INDEX(MapDataTbl[[Location]:[Value]],MATCH(MapDataTbl[[#This Row],[Position]],MapDataTbl[Rank],0),1)</f>
        <v>Market Yard- Lower Indira Nagar</v>
      </c>
      <c r="I14" s="4">
        <f ca="1">INDEX(MapDataTbl[[Location]:[Value]],MATCH(MapDataTbl[[#This Row],[Position]],MapDataTbl[Rank],0),3)</f>
        <v>0</v>
      </c>
      <c r="J14" s="11">
        <f ca="1">MapDataTbl[[#This Row],[Top Value]]/SUM(MapDataTbl[Top Value])</f>
        <v>0</v>
      </c>
      <c r="K14" s="9">
        <f ca="1">MATCH(MapDataTbl[[#This Row],[Value]],BinArray_1,1)</f>
        <v>1</v>
      </c>
      <c r="N14" s="94">
        <f>N13+0.35</f>
        <v>0.7</v>
      </c>
      <c r="O14" s="94" t="str">
        <f>"0.35-0.7"</f>
        <v>0.35-0.7</v>
      </c>
      <c r="P14" s="94">
        <f ca="1"/>
        <v>0</v>
      </c>
      <c r="R14" s="15" t="str">
        <f t="shared" ca="1" si="3"/>
        <v>Mahammadwadi- Kausar Baug</v>
      </c>
      <c r="S14" s="13">
        <f t="shared" ca="1" si="3"/>
        <v>2</v>
      </c>
      <c r="U14" s="30"/>
      <c r="V14" s="2"/>
      <c r="Y14" s="34"/>
      <c r="Z14" s="30"/>
      <c r="AA14" s="30"/>
      <c r="AB14" s="30"/>
      <c r="AC14" s="28"/>
      <c r="AD14" s="28"/>
    </row>
    <row r="15" spans="2:32" x14ac:dyDescent="0.15">
      <c r="B15" s="79" t="s">
        <v>72</v>
      </c>
      <c r="C15" s="80">
        <v>12</v>
      </c>
      <c r="D15" s="4">
        <f ca="1">OFFSET(DataEntry!$B$3,ROWS($D$4:D15),Calculation!$V$5-1)</f>
        <v>1</v>
      </c>
      <c r="E15" s="4">
        <f ca="1">MapDataTbl[[#This Row],[Value]]+ROWS($E$4:E15)*0.000001</f>
        <v>1.0000119999999999</v>
      </c>
      <c r="F15" s="4">
        <f ca="1">RANK(MapDataTbl[[#This Row],[Value+]],MapDataTbl[Value+],0)</f>
        <v>7</v>
      </c>
      <c r="G15" s="6">
        <v>12</v>
      </c>
      <c r="H15" s="4" t="str">
        <f ca="1">INDEX(MapDataTbl[[Location]:[Value]],MATCH(MapDataTbl[[#This Row],[Position]],MapDataTbl[Rank],0),1)</f>
        <v>Sahakar Nagar- Padmavati</v>
      </c>
      <c r="I15" s="4">
        <f ca="1">INDEX(MapDataTbl[[Location]:[Value]],MATCH(MapDataTbl[[#This Row],[Position]],MapDataTbl[Rank],0),3)</f>
        <v>0</v>
      </c>
      <c r="J15" s="11">
        <f ca="1">MapDataTbl[[#This Row],[Top Value]]/SUM(MapDataTbl[Top Value])</f>
        <v>0</v>
      </c>
      <c r="K15" s="9">
        <f ca="1">MATCH(MapDataTbl[[#This Row],[Value]],BinArray_1,1)</f>
        <v>3</v>
      </c>
      <c r="N15" s="94">
        <f>N14+0.35</f>
        <v>1.0499999999999998</v>
      </c>
      <c r="O15" s="94" t="str">
        <f>"0.71-0.105"</f>
        <v>0.71-0.105</v>
      </c>
      <c r="P15" s="94">
        <f ca="1"/>
        <v>5</v>
      </c>
      <c r="R15" s="15" t="str">
        <f t="shared" ca="1" si="3"/>
        <v>Kondhawa Budruk- Yewalewadi</v>
      </c>
      <c r="S15" s="13">
        <f t="shared" ca="1" si="3"/>
        <v>1</v>
      </c>
      <c r="U15" s="30"/>
      <c r="V15" s="2"/>
      <c r="Y15" s="33"/>
      <c r="Z15" s="30"/>
      <c r="AA15" s="30"/>
      <c r="AB15" s="30"/>
      <c r="AC15" s="28"/>
      <c r="AD15" s="28"/>
    </row>
    <row r="16" spans="2:32" ht="15" thickBot="1" x14ac:dyDescent="0.2">
      <c r="B16" s="79" t="s">
        <v>73</v>
      </c>
      <c r="C16" s="80">
        <v>13</v>
      </c>
      <c r="D16" s="4">
        <f ca="1">OFFSET(DataEntry!$B$3,ROWS($D$4:D16),Calculation!$V$5-1)</f>
        <v>0</v>
      </c>
      <c r="E16" s="4">
        <f ca="1">MapDataTbl[[#This Row],[Value]]+ROWS($E$4:E16)*0.000001</f>
        <v>1.2999999999999999E-5</v>
      </c>
      <c r="F16" s="4">
        <f ca="1">RANK(MapDataTbl[[#This Row],[Value+]],MapDataTbl[Value+],0)</f>
        <v>31</v>
      </c>
      <c r="G16" s="6">
        <v>13</v>
      </c>
      <c r="H16" s="4" t="str">
        <f ca="1">INDEX(MapDataTbl[[Location]:[Value]],MATCH(MapDataTbl[[#This Row],[Position]],MapDataTbl[Rank],0),1)</f>
        <v>Suncity- Hingane Khurd</v>
      </c>
      <c r="I16" s="4">
        <f ca="1">INDEX(MapDataTbl[[Location]:[Value]],MATCH(MapDataTbl[[#This Row],[Position]],MapDataTbl[Rank],0),3)</f>
        <v>0</v>
      </c>
      <c r="J16" s="11">
        <f ca="1">MapDataTbl[[#This Row],[Top Value]]/SUM(MapDataTbl[Top Value])</f>
        <v>0</v>
      </c>
      <c r="K16" s="9">
        <f ca="1">MATCH(MapDataTbl[[#This Row],[Value]],BinArray_1,1)</f>
        <v>1</v>
      </c>
      <c r="N16" s="94">
        <f>N15+0.35</f>
        <v>1.4</v>
      </c>
      <c r="O16" s="94" t="str">
        <f>"0.106-1.4"</f>
        <v>0.106-1.4</v>
      </c>
      <c r="P16" s="94">
        <f ca="1"/>
        <v>0</v>
      </c>
      <c r="R16" s="18" t="s">
        <v>33</v>
      </c>
      <c r="S16" s="14">
        <f ca="1">SUM(I7:I17)</f>
        <v>4</v>
      </c>
      <c r="U16" s="30"/>
      <c r="V16" s="2"/>
      <c r="Y16" s="34"/>
      <c r="Z16" s="30"/>
      <c r="AA16" s="30"/>
      <c r="AB16" s="30"/>
      <c r="AC16" s="28"/>
      <c r="AD16" s="28"/>
    </row>
    <row r="17" spans="2:34" x14ac:dyDescent="0.15">
      <c r="B17" s="79" t="s">
        <v>74</v>
      </c>
      <c r="C17" s="80">
        <v>14</v>
      </c>
      <c r="D17" s="4">
        <f ca="1">OFFSET(DataEntry!$B$3,ROWS($D$4:D17),Calculation!$V$5-1)</f>
        <v>0</v>
      </c>
      <c r="E17" s="4">
        <f ca="1">MapDataTbl[[#This Row],[Value]]+ROWS($E$4:E17)*0.000001</f>
        <v>1.4E-5</v>
      </c>
      <c r="F17" s="4">
        <f ca="1">RANK(MapDataTbl[[#This Row],[Value+]],MapDataTbl[Value+],0)</f>
        <v>30</v>
      </c>
      <c r="G17" s="6">
        <v>14</v>
      </c>
      <c r="H17" s="4" t="str">
        <f ca="1">INDEX(MapDataTbl[[Location]:[Value]],MATCH(MapDataTbl[[#This Row],[Position]],MapDataTbl[Rank],0),1)</f>
        <v>Vadgaon Dhayari- Vadgaon Budruk</v>
      </c>
      <c r="I17" s="4">
        <f ca="1">INDEX(MapDataTbl[[Location]:[Value]],MATCH(MapDataTbl[[#This Row],[Position]],MapDataTbl[Rank],0),3)</f>
        <v>0</v>
      </c>
      <c r="J17" s="11">
        <f ca="1">MapDataTbl[[#This Row],[Top Value]]/SUM(MapDataTbl[Top Value])</f>
        <v>0</v>
      </c>
      <c r="K17" s="9">
        <f ca="1">MATCH(MapDataTbl[[#This Row],[Value]],BinArray_1,1)</f>
        <v>1</v>
      </c>
      <c r="N17" s="94">
        <f>N16+0.35</f>
        <v>1.75</v>
      </c>
      <c r="O17" s="94" t="str">
        <f>"1.41-1.75"</f>
        <v>1.41-1.75</v>
      </c>
      <c r="P17" s="94">
        <f ca="1"/>
        <v>0</v>
      </c>
      <c r="U17" s="30"/>
      <c r="V17" s="2"/>
      <c r="Y17" s="34"/>
      <c r="Z17" s="30"/>
      <c r="AA17" s="30"/>
      <c r="AB17" s="30"/>
      <c r="AC17" s="28"/>
      <c r="AD17" s="28"/>
    </row>
    <row r="18" spans="2:34" x14ac:dyDescent="0.15">
      <c r="B18" s="79" t="s">
        <v>75</v>
      </c>
      <c r="C18" s="80">
        <v>15</v>
      </c>
      <c r="D18" s="4">
        <f ca="1">OFFSET(DataEntry!$B$3,ROWS($D$4:D18),Calculation!$V$5-1)</f>
        <v>0</v>
      </c>
      <c r="E18" s="4">
        <f ca="1">MapDataTbl[[#This Row],[Value]]+ROWS($E$4:E18)*0.000001</f>
        <v>1.4999999999999999E-5</v>
      </c>
      <c r="F18" s="4">
        <f ca="1">RANK(MapDataTbl[[#This Row],[Value+]],MapDataTbl[Value+],0)</f>
        <v>29</v>
      </c>
      <c r="G18" s="6">
        <v>15</v>
      </c>
      <c r="H18" s="4" t="str">
        <f ca="1">INDEX(MapDataTbl[[Location]:[Value]],MATCH(MapDataTbl[[#This Row],[Position]],MapDataTbl[Rank],0),1)</f>
        <v>Warje-Malwadi</v>
      </c>
      <c r="I18" s="4">
        <f ca="1">INDEX(MapDataTbl[[Location]:[Value]],MATCH(MapDataTbl[[#This Row],[Position]],MapDataTbl[Rank],0),3)</f>
        <v>0</v>
      </c>
      <c r="J18" s="11">
        <f ca="1">MapDataTbl[[#This Row],[Top Value]]/SUM(MapDataTbl[Top Value])</f>
        <v>0</v>
      </c>
      <c r="K18" s="59">
        <f ca="1">MATCH(MapDataTbl[[#This Row],[Value]],BinArray_1,1)</f>
        <v>1</v>
      </c>
      <c r="N18" s="40"/>
      <c r="O18" s="40"/>
      <c r="P18" s="40"/>
      <c r="U18" s="30"/>
      <c r="V18" s="2"/>
      <c r="Y18" s="34"/>
      <c r="Z18" s="30"/>
      <c r="AA18" s="30"/>
      <c r="AB18" s="30"/>
      <c r="AC18" s="28"/>
      <c r="AD18" s="28"/>
    </row>
    <row r="19" spans="2:34" x14ac:dyDescent="0.15">
      <c r="B19" s="79" t="s">
        <v>76</v>
      </c>
      <c r="C19" s="80">
        <v>16</v>
      </c>
      <c r="D19" s="4">
        <f ca="1">OFFSET(DataEntry!$B$3,ROWS($D$4:D19),Calculation!$V$5-1)</f>
        <v>1</v>
      </c>
      <c r="E19" s="4">
        <f ca="1">MapDataTbl[[#This Row],[Value]]+ROWS($E$4:E19)*0.000001</f>
        <v>1.000016</v>
      </c>
      <c r="F19" s="4">
        <f ca="1">RANK(MapDataTbl[[#This Row],[Value+]],MapDataTbl[Value+],0)</f>
        <v>6</v>
      </c>
      <c r="G19" s="6">
        <v>16</v>
      </c>
      <c r="H19" s="4" t="str">
        <f ca="1">INDEX(MapDataTbl[[Location]:[Value]],MATCH(MapDataTbl[[#This Row],[Position]],MapDataTbl[Rank],0),1)</f>
        <v>Karve Nagar</v>
      </c>
      <c r="I19" s="4">
        <f ca="1">INDEX(MapDataTbl[[Location]:[Value]],MATCH(MapDataTbl[[#This Row],[Position]],MapDataTbl[Rank],0),3)</f>
        <v>0</v>
      </c>
      <c r="J19" s="11">
        <f ca="1">MapDataTbl[[#This Row],[Top Value]]/SUM(MapDataTbl[Top Value])</f>
        <v>0</v>
      </c>
      <c r="K19" s="59">
        <f ca="1">MATCH(MapDataTbl[[#This Row],[Value]],BinArray_1,1)</f>
        <v>3</v>
      </c>
      <c r="N19" s="2"/>
      <c r="O19" s="2"/>
      <c r="P19" s="2"/>
      <c r="R19" s="47"/>
      <c r="S19" s="47"/>
      <c r="T19" s="47"/>
      <c r="U19" s="2"/>
      <c r="V19" s="2"/>
      <c r="Y19" s="34"/>
      <c r="Z19" s="30"/>
      <c r="AA19" s="30"/>
      <c r="AB19" s="30"/>
      <c r="AC19" s="28"/>
      <c r="AD19" s="28"/>
    </row>
    <row r="20" spans="2:34" x14ac:dyDescent="0.15">
      <c r="B20" s="79" t="s">
        <v>77</v>
      </c>
      <c r="C20" s="80">
        <v>17</v>
      </c>
      <c r="D20" s="4">
        <f ca="1">OFFSET(DataEntry!$B$3,ROWS($D$4:D20),Calculation!$V$5-1)</f>
        <v>1</v>
      </c>
      <c r="E20" s="4">
        <f ca="1">MapDataTbl[[#This Row],[Value]]+ROWS($E$4:E20)*0.000001</f>
        <v>1.0000169999999999</v>
      </c>
      <c r="F20" s="4">
        <f ca="1">RANK(MapDataTbl[[#This Row],[Value+]],MapDataTbl[Value+],0)</f>
        <v>5</v>
      </c>
      <c r="G20" s="6">
        <v>17</v>
      </c>
      <c r="H20" s="4" t="str">
        <f ca="1">INDEX(MapDataTbl[[Location]:[Value]],MATCH(MapDataTbl[[#This Row],[Position]],MapDataTbl[Rank],0),1)</f>
        <v>Janata Vasahat- Dattawadi</v>
      </c>
      <c r="I20" s="4">
        <f ca="1">INDEX(MapDataTbl[[Location]:[Value]],MATCH(MapDataTbl[[#This Row],[Position]],MapDataTbl[Rank],0),3)</f>
        <v>0</v>
      </c>
      <c r="J20" s="62">
        <f ca="1">MapDataTbl[[#This Row],[Top Value]]/SUM(MapDataTbl[Top Value])</f>
        <v>0</v>
      </c>
      <c r="K20" s="59">
        <f ca="1">MATCH(MapDataTbl[[#This Row],[Value]],BinArray_1,1)</f>
        <v>3</v>
      </c>
      <c r="R20" s="39"/>
      <c r="S20" s="40"/>
      <c r="T20" s="40"/>
      <c r="Y20" s="28"/>
      <c r="Z20" s="28"/>
      <c r="AA20" s="28"/>
      <c r="AB20" s="28"/>
      <c r="AC20" s="28"/>
      <c r="AD20" s="28"/>
    </row>
    <row r="21" spans="2:34" x14ac:dyDescent="0.15">
      <c r="B21" s="79" t="s">
        <v>78</v>
      </c>
      <c r="C21" s="80">
        <v>18</v>
      </c>
      <c r="D21" s="4">
        <f ca="1">OFFSET(DataEntry!$B$3,ROWS($D$4:D21),Calculation!$V$5-1)</f>
        <v>0</v>
      </c>
      <c r="E21" s="4">
        <f ca="1">MapDataTbl[[#This Row],[Value]]+ROWS($E$4:E21)*0.000001</f>
        <v>1.8E-5</v>
      </c>
      <c r="F21" s="4">
        <f ca="1">RANK(MapDataTbl[[#This Row],[Value+]],MapDataTbl[Value+],0)</f>
        <v>28</v>
      </c>
      <c r="G21" s="6">
        <v>18</v>
      </c>
      <c r="H21" s="4" t="str">
        <f ca="1">INDEX(MapDataTbl[[Location]:[Value]],MATCH(MapDataTbl[[#This Row],[Position]],MapDataTbl[Rank],0),1)</f>
        <v>Navi Peth- Parvati</v>
      </c>
      <c r="I21" s="4">
        <f ca="1">INDEX(MapDataTbl[[Location]:[Value]],MATCH(MapDataTbl[[#This Row],[Position]],MapDataTbl[Rank],0),3)</f>
        <v>0</v>
      </c>
      <c r="J21" s="62">
        <f ca="1">MapDataTbl[[#This Row],[Top Value]]/SUM(MapDataTbl[Top Value])</f>
        <v>0</v>
      </c>
      <c r="K21" s="59">
        <f ca="1">MATCH(MapDataTbl[[#This Row],[Value]],BinArray_1,1)</f>
        <v>1</v>
      </c>
      <c r="R21" s="39"/>
      <c r="S21" s="40"/>
      <c r="T21" s="40"/>
      <c r="AA21" s="2"/>
      <c r="AB21" s="2"/>
      <c r="AC21" s="2"/>
      <c r="AE21" s="2"/>
      <c r="AF21" s="2"/>
      <c r="AG21" s="2"/>
      <c r="AH21" s="2"/>
    </row>
    <row r="22" spans="2:34" x14ac:dyDescent="0.15">
      <c r="B22" s="79" t="s">
        <v>79</v>
      </c>
      <c r="C22" s="80">
        <v>19</v>
      </c>
      <c r="D22" s="4">
        <f ca="1">OFFSET(DataEntry!$B$3,ROWS($D$4:D22),Calculation!$V$5-1)</f>
        <v>0</v>
      </c>
      <c r="E22" s="4">
        <f ca="1">MapDataTbl[[#This Row],[Value]]+ROWS($E$4:E22)*0.000001</f>
        <v>1.8999999999999998E-5</v>
      </c>
      <c r="F22" s="4">
        <f ca="1">RANK(MapDataTbl[[#This Row],[Value+]],MapDataTbl[Value+],0)</f>
        <v>27</v>
      </c>
      <c r="G22" s="6">
        <v>19</v>
      </c>
      <c r="H22" s="4" t="str">
        <f ca="1">INDEX(MapDataTbl[[Location]:[Value]],MATCH(MapDataTbl[[#This Row],[Position]],MapDataTbl[Rank],0),1)</f>
        <v>Salisbury Park- Maharshi Nagar</v>
      </c>
      <c r="I22" s="4">
        <f ca="1">INDEX(MapDataTbl[[Location]:[Value]],MATCH(MapDataTbl[[#This Row],[Position]],MapDataTbl[Rank],0),3)</f>
        <v>0</v>
      </c>
      <c r="J22" s="62">
        <f ca="1">MapDataTbl[[#This Row],[Top Value]]/SUM(MapDataTbl[Top Value])</f>
        <v>0</v>
      </c>
      <c r="K22" s="59">
        <f ca="1">MATCH(MapDataTbl[[#This Row],[Value]],BinArray_1,1)</f>
        <v>1</v>
      </c>
      <c r="R22" s="39"/>
      <c r="S22" s="40"/>
      <c r="T22" s="40"/>
      <c r="AA22" s="10"/>
      <c r="AB22" s="10"/>
      <c r="AC22" s="10"/>
      <c r="AE22" s="10"/>
      <c r="AF22" s="10"/>
      <c r="AG22" s="10"/>
      <c r="AH22" s="2"/>
    </row>
    <row r="23" spans="2:34" x14ac:dyDescent="0.15">
      <c r="B23" s="79" t="s">
        <v>80</v>
      </c>
      <c r="C23" s="80">
        <v>20</v>
      </c>
      <c r="D23" s="4">
        <f ca="1">OFFSET(DataEntry!$B$3,ROWS($D$4:D23),Calculation!$V$5-1)</f>
        <v>0</v>
      </c>
      <c r="E23" s="4">
        <f ca="1">MapDataTbl[[#This Row],[Value]]+ROWS($E$4:E23)*0.000001</f>
        <v>1.9999999999999998E-5</v>
      </c>
      <c r="F23" s="4">
        <f ca="1">RANK(MapDataTbl[[#This Row],[Value+]],MapDataTbl[Value+],0)</f>
        <v>26</v>
      </c>
      <c r="G23" s="6">
        <v>20</v>
      </c>
      <c r="H23" s="4" t="str">
        <f ca="1">INDEX(MapDataTbl[[Location]:[Value]],MATCH(MapDataTbl[[#This Row],[Position]],MapDataTbl[Rank],0),1)</f>
        <v>Kondhwa Khurd- Meetha Nagar</v>
      </c>
      <c r="I23" s="4">
        <f ca="1">INDEX(MapDataTbl[[Location]:[Value]],MATCH(MapDataTbl[[#This Row],[Position]],MapDataTbl[Rank],0),3)</f>
        <v>0</v>
      </c>
      <c r="J23" s="62">
        <f ca="1">MapDataTbl[[#This Row],[Top Value]]/SUM(MapDataTbl[Top Value])</f>
        <v>0</v>
      </c>
      <c r="K23" s="59">
        <f ca="1">MATCH(MapDataTbl[[#This Row],[Value]],BinArray_1,1)</f>
        <v>1</v>
      </c>
      <c r="O23" s="2"/>
      <c r="P23" s="2"/>
      <c r="Q23" s="2"/>
      <c r="R23" s="39"/>
      <c r="S23" s="41"/>
      <c r="T23" s="40"/>
      <c r="AA23" s="10"/>
      <c r="AB23" s="10"/>
      <c r="AC23" s="10"/>
      <c r="AE23" s="10"/>
      <c r="AF23" s="10"/>
      <c r="AG23" s="10"/>
      <c r="AH23" s="2"/>
    </row>
    <row r="24" spans="2:34" x14ac:dyDescent="0.15">
      <c r="B24" s="79" t="s">
        <v>81</v>
      </c>
      <c r="C24" s="80">
        <v>21</v>
      </c>
      <c r="D24" s="4">
        <f ca="1">OFFSET(DataEntry!$B$3,ROWS($D$4:D24),Calculation!$V$5-1)</f>
        <v>0</v>
      </c>
      <c r="E24" s="4">
        <f ca="1">MapDataTbl[[#This Row],[Value]]+ROWS($E$4:E24)*0.000001</f>
        <v>2.0999999999999999E-5</v>
      </c>
      <c r="F24" s="4">
        <f ca="1">RANK(MapDataTbl[[#This Row],[Value+]],MapDataTbl[Value+],0)</f>
        <v>25</v>
      </c>
      <c r="G24" s="6">
        <v>21</v>
      </c>
      <c r="H24" s="4" t="str">
        <f ca="1">INDEX(MapDataTbl[[Location]:[Value]],MATCH(MapDataTbl[[#This Row],[Position]],MapDataTbl[Rank],0),1)</f>
        <v>Vanwadi</v>
      </c>
      <c r="I24" s="4">
        <f ca="1">INDEX(MapDataTbl[[Location]:[Value]],MATCH(MapDataTbl[[#This Row],[Position]],MapDataTbl[Rank],0),3)</f>
        <v>0</v>
      </c>
      <c r="J24" s="62">
        <f ca="1">MapDataTbl[[#This Row],[Top Value]]/SUM(MapDataTbl[Top Value])</f>
        <v>0</v>
      </c>
      <c r="K24" s="59">
        <f ca="1">MATCH(MapDataTbl[[#This Row],[Value]],BinArray_1,1)</f>
        <v>1</v>
      </c>
      <c r="O24" s="2"/>
      <c r="P24" s="2"/>
      <c r="Q24" s="2"/>
      <c r="R24" s="39"/>
      <c r="S24" s="41"/>
      <c r="T24" s="40"/>
      <c r="AA24" s="10"/>
      <c r="AB24" s="10"/>
      <c r="AC24" s="10"/>
      <c r="AE24" s="10"/>
      <c r="AF24" s="10"/>
      <c r="AG24" s="10"/>
      <c r="AH24" s="2"/>
    </row>
    <row r="25" spans="2:34" x14ac:dyDescent="0.15">
      <c r="B25" s="79" t="s">
        <v>82</v>
      </c>
      <c r="C25" s="80">
        <v>22</v>
      </c>
      <c r="D25" s="4">
        <f ca="1">OFFSET(DataEntry!$B$3,ROWS($D$4:D25),Calculation!$V$5-1)</f>
        <v>0</v>
      </c>
      <c r="E25" s="4">
        <f ca="1">MapDataTbl[[#This Row],[Value]]+ROWS($E$4:E25)*0.000001</f>
        <v>2.1999999999999999E-5</v>
      </c>
      <c r="F25" s="4">
        <f ca="1">RANK(MapDataTbl[[#This Row],[Value+]],MapDataTbl[Value+],0)</f>
        <v>24</v>
      </c>
      <c r="G25" s="6">
        <v>22</v>
      </c>
      <c r="H25" s="4" t="str">
        <f ca="1">INDEX(MapDataTbl[[Location]:[Value]],MATCH(MapDataTbl[[#This Row],[Position]],MapDataTbl[Rank],0),1)</f>
        <v>Ramtekadi- Sayyad Nagar</v>
      </c>
      <c r="I25" s="4">
        <f ca="1">INDEX(MapDataTbl[[Location]:[Value]],MATCH(MapDataTbl[[#This Row],[Position]],MapDataTbl[Rank],0),3)</f>
        <v>0</v>
      </c>
      <c r="J25" s="62">
        <f ca="1">MapDataTbl[[#This Row],[Top Value]]/SUM(MapDataTbl[Top Value])</f>
        <v>0</v>
      </c>
      <c r="K25" s="59">
        <f ca="1">MATCH(MapDataTbl[[#This Row],[Value]],BinArray_1,1)</f>
        <v>1</v>
      </c>
      <c r="O25" s="39"/>
      <c r="P25" s="40"/>
      <c r="Q25" s="40"/>
      <c r="R25" s="39"/>
      <c r="S25" s="40"/>
      <c r="T25" s="40"/>
      <c r="AA25" s="10"/>
      <c r="AB25" s="10"/>
      <c r="AC25" s="10"/>
      <c r="AE25" s="10"/>
      <c r="AF25" s="10"/>
      <c r="AG25" s="10"/>
      <c r="AH25" s="2"/>
    </row>
    <row r="26" spans="2:34" x14ac:dyDescent="0.15">
      <c r="B26" s="79" t="s">
        <v>83</v>
      </c>
      <c r="C26" s="80">
        <v>23</v>
      </c>
      <c r="D26" s="4">
        <f ca="1">OFFSET(DataEntry!$B$3,ROWS($D$4:D26),Calculation!$V$5-1)</f>
        <v>0</v>
      </c>
      <c r="E26" s="4">
        <f ca="1">MapDataTbl[[#This Row],[Value]]+ROWS($E$4:E26)*0.000001</f>
        <v>2.3E-5</v>
      </c>
      <c r="F26" s="4">
        <f ca="1">RANK(MapDataTbl[[#This Row],[Value+]],MapDataTbl[Value+],0)</f>
        <v>23</v>
      </c>
      <c r="G26" s="6">
        <v>23</v>
      </c>
      <c r="H26" s="4" t="str">
        <f ca="1">INDEX(MapDataTbl[[Location]:[Value]],MATCH(MapDataTbl[[#This Row],[Position]],MapDataTbl[Rank],0),1)</f>
        <v>Hadapsar Gaothan- Satavwadi</v>
      </c>
      <c r="I26" s="4">
        <f ca="1">INDEX(MapDataTbl[[Location]:[Value]],MATCH(MapDataTbl[[#This Row],[Position]],MapDataTbl[Rank],0),3)</f>
        <v>0</v>
      </c>
      <c r="J26" s="62">
        <f ca="1">MapDataTbl[[#This Row],[Top Value]]/SUM(MapDataTbl[Top Value])</f>
        <v>0</v>
      </c>
      <c r="K26" s="59">
        <f ca="1">MATCH(MapDataTbl[[#This Row],[Value]],BinArray_1,1)</f>
        <v>1</v>
      </c>
      <c r="O26" s="39"/>
      <c r="P26" s="40"/>
      <c r="Q26" s="40"/>
      <c r="R26" s="10"/>
      <c r="S26" s="10"/>
      <c r="T26" s="2"/>
      <c r="AA26" s="10"/>
      <c r="AB26" s="10"/>
      <c r="AC26" s="10"/>
      <c r="AE26" s="10"/>
      <c r="AF26" s="10"/>
      <c r="AG26" s="10"/>
      <c r="AH26" s="2"/>
    </row>
    <row r="27" spans="2:34" x14ac:dyDescent="0.15">
      <c r="B27" s="79" t="s">
        <v>84</v>
      </c>
      <c r="C27" s="80">
        <v>24</v>
      </c>
      <c r="D27" s="4">
        <f ca="1">OFFSET(DataEntry!$B$3,ROWS($D$4:D27),Calculation!$V$5-1)</f>
        <v>0</v>
      </c>
      <c r="E27" s="4">
        <f ca="1">MapDataTbl[[#This Row],[Value]]+ROWS($E$4:E27)*0.000001</f>
        <v>2.4000000000000001E-5</v>
      </c>
      <c r="F27" s="4">
        <f ca="1">RANK(MapDataTbl[[#This Row],[Value+]],MapDataTbl[Value+],0)</f>
        <v>22</v>
      </c>
      <c r="G27" s="6">
        <v>24</v>
      </c>
      <c r="H27" s="4" t="str">
        <f ca="1">INDEX(MapDataTbl[[Location]:[Value]],MATCH(MapDataTbl[[#This Row],[Position]],MapDataTbl[Rank],0),1)</f>
        <v>Mundhwa- Magarpatta City</v>
      </c>
      <c r="I27" s="4">
        <f ca="1">INDEX(MapDataTbl[[Location]:[Value]],MATCH(MapDataTbl[[#This Row],[Position]],MapDataTbl[Rank],0),3)</f>
        <v>0</v>
      </c>
      <c r="J27" s="62">
        <f ca="1">MapDataTbl[[#This Row],[Top Value]]/SUM(MapDataTbl[Top Value])</f>
        <v>0</v>
      </c>
      <c r="K27" s="59">
        <f ca="1">MATCH(MapDataTbl[[#This Row],[Value]],BinArray_1,1)</f>
        <v>1</v>
      </c>
      <c r="O27" s="39"/>
      <c r="P27" s="40"/>
      <c r="Q27" s="30"/>
      <c r="R27" s="2"/>
      <c r="S27" s="2"/>
      <c r="T27" s="2"/>
      <c r="AE27" s="2"/>
      <c r="AF27" s="2"/>
      <c r="AG27" s="2"/>
      <c r="AH27" s="2"/>
    </row>
    <row r="28" spans="2:34" x14ac:dyDescent="0.15">
      <c r="B28" s="79" t="s">
        <v>85</v>
      </c>
      <c r="C28" s="80">
        <v>25</v>
      </c>
      <c r="D28" s="4">
        <f ca="1">OFFSET(DataEntry!$B$3,ROWS($D$4:D28),Calculation!$V$5-1)</f>
        <v>0</v>
      </c>
      <c r="E28" s="4">
        <f ca="1">MapDataTbl[[#This Row],[Value]]+ROWS($E$4:E28)*0.000001</f>
        <v>2.4999999999999998E-5</v>
      </c>
      <c r="F28" s="4">
        <f ca="1">RANK(MapDataTbl[[#This Row],[Value+]],MapDataTbl[Value+],0)</f>
        <v>21</v>
      </c>
      <c r="G28" s="6">
        <v>25</v>
      </c>
      <c r="H28" s="4" t="str">
        <f ca="1">INDEX(MapDataTbl[[Location]:[Value]],MATCH(MapDataTbl[[#This Row],[Position]],MapDataTbl[Rank],0),1)</f>
        <v>Koregaon Park- Ghorpadi</v>
      </c>
      <c r="I28" s="4">
        <f ca="1">INDEX(MapDataTbl[[Location]:[Value]],MATCH(MapDataTbl[[#This Row],[Position]],MapDataTbl[Rank],0),3)</f>
        <v>0</v>
      </c>
      <c r="J28" s="62">
        <f ca="1">MapDataTbl[[#This Row],[Top Value]]/SUM(MapDataTbl[Top Value])</f>
        <v>0</v>
      </c>
      <c r="K28" s="59">
        <f ca="1">MATCH(MapDataTbl[[#This Row],[Value]],BinArray_1,1)</f>
        <v>1</v>
      </c>
      <c r="O28" s="39"/>
      <c r="P28" s="41"/>
      <c r="Q28" s="30"/>
      <c r="R28" s="2"/>
      <c r="S28" s="2"/>
      <c r="T28" s="2"/>
    </row>
    <row r="29" spans="2:34" x14ac:dyDescent="0.15">
      <c r="B29" s="79" t="s">
        <v>86</v>
      </c>
      <c r="C29" s="80">
        <v>26</v>
      </c>
      <c r="D29" s="4">
        <f ca="1">OFFSET(DataEntry!$B$3,ROWS($D$4:D29),Calculation!$V$5-1)</f>
        <v>2</v>
      </c>
      <c r="E29" s="4">
        <f ca="1">MapDataTbl[[#This Row],[Value]]+ROWS($E$4:E29)*0.000001</f>
        <v>2.0000260000000001</v>
      </c>
      <c r="F29" s="4">
        <f ca="1">RANK(MapDataTbl[[#This Row],[Value+]],MapDataTbl[Value+],0)</f>
        <v>2</v>
      </c>
      <c r="G29" s="6">
        <v>26</v>
      </c>
      <c r="H29" s="4" t="str">
        <f ca="1">INDEX(MapDataTbl[[Location]:[Value]],MATCH(MapDataTbl[[#This Row],[Position]],MapDataTbl[Rank],0),1)</f>
        <v>Tadiwala Road- Sasoon Hospital</v>
      </c>
      <c r="I29" s="4">
        <f ca="1">INDEX(MapDataTbl[[Location]:[Value]],MATCH(MapDataTbl[[#This Row],[Position]],MapDataTbl[Rank],0),3)</f>
        <v>0</v>
      </c>
      <c r="J29" s="62">
        <f ca="1">MapDataTbl[[#This Row],[Top Value]]/SUM(MapDataTbl[Top Value])</f>
        <v>0</v>
      </c>
      <c r="K29" s="59">
        <f ca="1">MATCH(MapDataTbl[[#This Row],[Value]],BinArray_1,1)</f>
        <v>6</v>
      </c>
      <c r="N29" s="28"/>
      <c r="O29" s="39"/>
      <c r="P29" s="41"/>
      <c r="Q29" s="30"/>
      <c r="R29" s="28"/>
      <c r="S29" s="28"/>
      <c r="T29" s="28"/>
      <c r="U29" s="28"/>
    </row>
    <row r="30" spans="2:34" x14ac:dyDescent="0.15">
      <c r="B30" s="79" t="s">
        <v>87</v>
      </c>
      <c r="C30" s="80">
        <v>27</v>
      </c>
      <c r="D30" s="4">
        <f ca="1">OFFSET(DataEntry!$B$3,ROWS($D$4:D30),Calculation!$V$5-1)</f>
        <v>0</v>
      </c>
      <c r="E30" s="4">
        <f ca="1">MapDataTbl[[#This Row],[Value]]+ROWS($E$4:E30)*0.000001</f>
        <v>2.6999999999999999E-5</v>
      </c>
      <c r="F30" s="4">
        <f ca="1">RANK(MapDataTbl[[#This Row],[Value+]],MapDataTbl[Value+],0)</f>
        <v>20</v>
      </c>
      <c r="G30" s="6">
        <v>27</v>
      </c>
      <c r="H30" s="4" t="str">
        <f ca="1">INDEX(MapDataTbl[[Location]:[Value]],MATCH(MapDataTbl[[#This Row],[Position]],MapDataTbl[Rank],0),1)</f>
        <v>Lohiya Nagar- Kasewadi</v>
      </c>
      <c r="I30" s="4">
        <f ca="1">INDEX(MapDataTbl[[Location]:[Value]],MATCH(MapDataTbl[[#This Row],[Position]],MapDataTbl[Rank],0),3)</f>
        <v>0</v>
      </c>
      <c r="J30" s="62">
        <f ca="1">MapDataTbl[[#This Row],[Top Value]]/SUM(MapDataTbl[Top Value])</f>
        <v>0</v>
      </c>
      <c r="K30" s="59">
        <f ca="1">MATCH(MapDataTbl[[#This Row],[Value]],BinArray_1,1)</f>
        <v>1</v>
      </c>
      <c r="N30" s="28"/>
      <c r="O30" s="39"/>
      <c r="P30" s="40"/>
      <c r="Q30" s="30"/>
      <c r="R30" s="28"/>
      <c r="S30" s="29"/>
      <c r="T30" s="29"/>
      <c r="U30" s="28"/>
    </row>
    <row r="31" spans="2:34" x14ac:dyDescent="0.15">
      <c r="B31" s="79" t="s">
        <v>88</v>
      </c>
      <c r="C31" s="80">
        <v>28</v>
      </c>
      <c r="D31" s="4">
        <f ca="1">OFFSET(DataEntry!$B$3,ROWS($D$4:D31),Calculation!$V$5-1)</f>
        <v>0</v>
      </c>
      <c r="E31" s="4">
        <f ca="1">MapDataTbl[[#This Row],[Value]]+ROWS($E$4:E31)*0.000001</f>
        <v>2.8E-5</v>
      </c>
      <c r="F31" s="4">
        <f ca="1">RANK(MapDataTbl[[#This Row],[Value+]],MapDataTbl[Value+],0)</f>
        <v>19</v>
      </c>
      <c r="G31" s="6">
        <v>28</v>
      </c>
      <c r="H31" s="4" t="str">
        <f ca="1">INDEX(MapDataTbl[[Location]:[Value]],MATCH(MapDataTbl[[#This Row],[Position]],MapDataTbl[Rank],0),1)</f>
        <v>Kahdakmal Aali- Mahatma Phule Peth</v>
      </c>
      <c r="I31" s="4">
        <f ca="1">INDEX(MapDataTbl[[Location]:[Value]],MATCH(MapDataTbl[[#This Row],[Position]],MapDataTbl[Rank],0),3)</f>
        <v>0</v>
      </c>
      <c r="J31" s="62">
        <f ca="1">MapDataTbl[[#This Row],[Top Value]]/SUM(MapDataTbl[Top Value])</f>
        <v>0</v>
      </c>
      <c r="K31" s="59">
        <f ca="1">MATCH(MapDataTbl[[#This Row],[Value]],BinArray_1,1)</f>
        <v>1</v>
      </c>
      <c r="N31" s="28"/>
      <c r="O31" s="39"/>
      <c r="P31" s="40"/>
      <c r="Q31" s="30"/>
      <c r="R31" s="28"/>
      <c r="S31" s="30"/>
      <c r="T31" s="30"/>
      <c r="U31" s="30"/>
    </row>
    <row r="32" spans="2:34" x14ac:dyDescent="0.15">
      <c r="B32" s="79" t="s">
        <v>89</v>
      </c>
      <c r="C32" s="80">
        <v>29</v>
      </c>
      <c r="D32" s="4">
        <f ca="1">OFFSET(DataEntry!$B$3,ROWS($D$4:D32),Calculation!$V$5-1)</f>
        <v>0</v>
      </c>
      <c r="E32" s="4">
        <f ca="1">MapDataTbl[[#This Row],[Value]]+ROWS($E$4:E32)*0.000001</f>
        <v>2.9E-5</v>
      </c>
      <c r="F32" s="4">
        <f ca="1">RANK(MapDataTbl[[#This Row],[Value+]],MapDataTbl[Value+],0)</f>
        <v>18</v>
      </c>
      <c r="G32" s="6">
        <v>29</v>
      </c>
      <c r="H32" s="4" t="str">
        <f ca="1">INDEX(MapDataTbl[[Location]:[Value]],MATCH(MapDataTbl[[#This Row],[Position]],MapDataTbl[Rank],0),1)</f>
        <v>Shanivar Peth- Sadashiv Peth</v>
      </c>
      <c r="I32" s="4">
        <f ca="1">INDEX(MapDataTbl[[Location]:[Value]],MATCH(MapDataTbl[[#This Row],[Position]],MapDataTbl[Rank],0),3)</f>
        <v>0</v>
      </c>
      <c r="J32" s="62">
        <f ca="1">MapDataTbl[[#This Row],[Top Value]]/SUM(MapDataTbl[Top Value])</f>
        <v>0</v>
      </c>
      <c r="K32" s="59">
        <f ca="1">MATCH(MapDataTbl[[#This Row],[Value]],BinArray_1,1)</f>
        <v>1</v>
      </c>
      <c r="N32" s="28"/>
      <c r="O32" s="31"/>
      <c r="P32" s="32"/>
      <c r="Q32" s="30"/>
      <c r="R32" s="28"/>
      <c r="S32" s="30"/>
      <c r="T32" s="30"/>
      <c r="U32" s="30"/>
    </row>
    <row r="33" spans="2:21" x14ac:dyDescent="0.15">
      <c r="B33" s="79" t="s">
        <v>90</v>
      </c>
      <c r="C33" s="80">
        <v>30</v>
      </c>
      <c r="D33" s="4">
        <f ca="1">OFFSET(DataEntry!$B$3,ROWS($D$4:D33),Calculation!$V$5-1)</f>
        <v>0</v>
      </c>
      <c r="E33" s="4">
        <f ca="1">MapDataTbl[[#This Row],[Value]]+ROWS($E$4:E33)*0.000001</f>
        <v>2.9999999999999997E-5</v>
      </c>
      <c r="F33" s="4">
        <f ca="1">RANK(MapDataTbl[[#This Row],[Value+]],MapDataTbl[Value+],0)</f>
        <v>17</v>
      </c>
      <c r="G33" s="6">
        <v>30</v>
      </c>
      <c r="H33" s="4" t="str">
        <f ca="1">INDEX(MapDataTbl[[Location]:[Value]],MATCH(MapDataTbl[[#This Row],[Position]],MapDataTbl[Rank],0),1)</f>
        <v>Deccan Gymkhana- Model Colony</v>
      </c>
      <c r="I33" s="4">
        <f ca="1">INDEX(MapDataTbl[[Location]:[Value]],MATCH(MapDataTbl[[#This Row],[Position]],MapDataTbl[Rank],0),3)</f>
        <v>0</v>
      </c>
      <c r="J33" s="62">
        <f ca="1">MapDataTbl[[#This Row],[Top Value]]/SUM(MapDataTbl[Top Value])</f>
        <v>0</v>
      </c>
      <c r="K33" s="59">
        <f ca="1">MATCH(MapDataTbl[[#This Row],[Value]],BinArray_1,1)</f>
        <v>1</v>
      </c>
      <c r="N33" s="28"/>
      <c r="O33" s="31"/>
      <c r="P33" s="32"/>
      <c r="Q33" s="30"/>
      <c r="R33" s="28"/>
      <c r="S33" s="30"/>
      <c r="T33" s="30"/>
      <c r="U33" s="30"/>
    </row>
    <row r="34" spans="2:21" x14ac:dyDescent="0.15">
      <c r="B34" s="79" t="s">
        <v>91</v>
      </c>
      <c r="C34" s="80">
        <v>31</v>
      </c>
      <c r="D34" s="4">
        <f ca="1">OFFSET(DataEntry!$B$3,ROWS($D$4:D34),Calculation!$V$5-1)</f>
        <v>0</v>
      </c>
      <c r="E34" s="4">
        <f ca="1">MapDataTbl[[#This Row],[Value]]+ROWS($E$4:E34)*0.000001</f>
        <v>3.1000000000000001E-5</v>
      </c>
      <c r="F34" s="4">
        <f ca="1">RANK(MapDataTbl[[#This Row],[Value+]],MapDataTbl[Value+],0)</f>
        <v>16</v>
      </c>
      <c r="G34" s="6">
        <v>31</v>
      </c>
      <c r="H34" s="4" t="str">
        <f ca="1">INDEX(MapDataTbl[[Location]:[Value]],MATCH(MapDataTbl[[#This Row],[Position]],MapDataTbl[Rank],0),1)</f>
        <v>Erandwana- Happy Colony</v>
      </c>
      <c r="I34" s="4">
        <f ca="1">INDEX(MapDataTbl[[Location]:[Value]],MATCH(MapDataTbl[[#This Row],[Position]],MapDataTbl[Rank],0),3)</f>
        <v>0</v>
      </c>
      <c r="J34" s="62">
        <f ca="1">MapDataTbl[[#This Row],[Top Value]]/SUM(MapDataTbl[Top Value])</f>
        <v>0</v>
      </c>
      <c r="K34" s="59">
        <f ca="1">MATCH(MapDataTbl[[#This Row],[Value]],BinArray_1,1)</f>
        <v>1</v>
      </c>
      <c r="N34" s="28"/>
      <c r="O34" s="31"/>
      <c r="P34" s="32"/>
      <c r="Q34" s="32"/>
      <c r="R34" s="28"/>
      <c r="S34" s="30"/>
      <c r="T34" s="30"/>
      <c r="U34" s="30"/>
    </row>
    <row r="35" spans="2:21" x14ac:dyDescent="0.15">
      <c r="B35" s="79" t="s">
        <v>92</v>
      </c>
      <c r="C35" s="80">
        <v>32</v>
      </c>
      <c r="D35" s="4">
        <f ca="1">OFFSET(DataEntry!$B$3,ROWS($D$4:D35),Calculation!$V$5-1)</f>
        <v>0</v>
      </c>
      <c r="E35" s="4">
        <f ca="1">MapDataTbl[[#This Row],[Value]]+ROWS($E$4:E35)*0.000001</f>
        <v>3.1999999999999999E-5</v>
      </c>
      <c r="F35" s="4">
        <f ca="1">RANK(MapDataTbl[[#This Row],[Value+]],MapDataTbl[Value+],0)</f>
        <v>15</v>
      </c>
      <c r="G35" s="6">
        <v>32</v>
      </c>
      <c r="H35" s="4" t="str">
        <f ca="1">INDEX(MapDataTbl[[Location]:[Value]],MATCH(MapDataTbl[[#This Row],[Position]],MapDataTbl[Rank],0),1)</f>
        <v>Rambaug Colony- Shivtirth Nagar</v>
      </c>
      <c r="I35" s="4">
        <f ca="1">INDEX(MapDataTbl[[Location]:[Value]],MATCH(MapDataTbl[[#This Row],[Position]],MapDataTbl[Rank],0),3)</f>
        <v>0</v>
      </c>
      <c r="J35" s="62">
        <f ca="1">MapDataTbl[[#This Row],[Top Value]]/SUM(MapDataTbl[Top Value])</f>
        <v>0</v>
      </c>
      <c r="K35" s="59">
        <f ca="1">MATCH(MapDataTbl[[#This Row],[Value]],BinArray_1,1)</f>
        <v>1</v>
      </c>
      <c r="N35" s="28"/>
      <c r="O35" s="31"/>
      <c r="P35" s="32"/>
      <c r="Q35" s="32"/>
      <c r="R35" s="28"/>
      <c r="S35" s="30"/>
      <c r="T35" s="30"/>
      <c r="U35" s="30"/>
    </row>
    <row r="36" spans="2:21" x14ac:dyDescent="0.15">
      <c r="B36" s="79" t="s">
        <v>93</v>
      </c>
      <c r="C36" s="80">
        <v>33</v>
      </c>
      <c r="D36" s="4">
        <f ca="1">OFFSET(DataEntry!$B$3,ROWS($D$4:D36),Calculation!$V$5-1)</f>
        <v>0</v>
      </c>
      <c r="E36" s="4">
        <f ca="1">MapDataTbl[[#This Row],[Value]]+ROWS($E$4:E36)*0.000001</f>
        <v>3.2999999999999996E-5</v>
      </c>
      <c r="F36" s="4">
        <f ca="1">RANK(MapDataTbl[[#This Row],[Value+]],MapDataTbl[Value+],0)</f>
        <v>14</v>
      </c>
      <c r="G36" s="6">
        <v>33</v>
      </c>
      <c r="H36" s="4" t="str">
        <f ca="1">INDEX(MapDataTbl[[Location]:[Value]],MATCH(MapDataTbl[[#This Row],[Position]],MapDataTbl[Rank],0),1)</f>
        <v>Bavdhan- Kothrud Depot</v>
      </c>
      <c r="I36" s="4">
        <f ca="1">INDEX(MapDataTbl[[Location]:[Value]],MATCH(MapDataTbl[[#This Row],[Position]],MapDataTbl[Rank],0),3)</f>
        <v>0</v>
      </c>
      <c r="J36" s="62">
        <f ca="1">MapDataTbl[[#This Row],[Top Value]]/SUM(MapDataTbl[Top Value])</f>
        <v>0</v>
      </c>
      <c r="K36" s="59">
        <f ca="1">MATCH(MapDataTbl[[#This Row],[Value]],BinArray_1,1)</f>
        <v>1</v>
      </c>
      <c r="N36" s="28"/>
      <c r="O36" s="31"/>
      <c r="P36" s="32"/>
      <c r="Q36" s="32"/>
      <c r="R36" s="28"/>
      <c r="S36" s="30"/>
      <c r="T36" s="30"/>
      <c r="U36" s="30"/>
    </row>
    <row r="37" spans="2:21" x14ac:dyDescent="0.15">
      <c r="B37" s="79" t="s">
        <v>94</v>
      </c>
      <c r="C37" s="80">
        <v>34</v>
      </c>
      <c r="D37" s="4">
        <f ca="1">OFFSET(DataEntry!$B$3,ROWS($D$4:D37),Calculation!$V$5-1)</f>
        <v>0</v>
      </c>
      <c r="E37" s="4">
        <f ca="1">MapDataTbl[[#This Row],[Value]]+ROWS($E$4:E37)*0.000001</f>
        <v>3.4E-5</v>
      </c>
      <c r="F37" s="4">
        <f ca="1">RANK(MapDataTbl[[#This Row],[Value+]],MapDataTbl[Value+],0)</f>
        <v>13</v>
      </c>
      <c r="G37" s="6">
        <v>34</v>
      </c>
      <c r="H37" s="4" t="str">
        <f ca="1">INDEX(MapDataTbl[[Location]:[Value]],MATCH(MapDataTbl[[#This Row],[Position]],MapDataTbl[Rank],0),1)</f>
        <v>Baner- Balewadi- Pashan</v>
      </c>
      <c r="I37" s="4">
        <f ca="1">INDEX(MapDataTbl[[Location]:[Value]],MATCH(MapDataTbl[[#This Row],[Position]],MapDataTbl[Rank],0),3)</f>
        <v>0</v>
      </c>
      <c r="J37" s="62">
        <f ca="1">MapDataTbl[[#This Row],[Top Value]]/SUM(MapDataTbl[Top Value])</f>
        <v>0</v>
      </c>
      <c r="K37" s="59">
        <f ca="1">MATCH(MapDataTbl[[#This Row],[Value]],BinArray_1,1)</f>
        <v>1</v>
      </c>
      <c r="N37" s="28"/>
      <c r="O37" s="31"/>
      <c r="P37" s="32"/>
      <c r="Q37" s="32"/>
      <c r="R37" s="28"/>
      <c r="S37" s="30"/>
      <c r="T37" s="28"/>
      <c r="U37" s="28"/>
    </row>
    <row r="38" spans="2:21" x14ac:dyDescent="0.15">
      <c r="B38" s="79" t="s">
        <v>95</v>
      </c>
      <c r="C38" s="80">
        <v>35</v>
      </c>
      <c r="D38" s="4">
        <f ca="1">OFFSET(DataEntry!$B$3,ROWS($D$4:D38),Calculation!$V$5-1)</f>
        <v>0</v>
      </c>
      <c r="E38" s="4">
        <f ca="1">MapDataTbl[[#This Row],[Value]]+ROWS($E$4:E38)*0.000001</f>
        <v>3.4999999999999997E-5</v>
      </c>
      <c r="F38" s="4">
        <f ca="1">RANK(MapDataTbl[[#This Row],[Value+]],MapDataTbl[Value+],0)</f>
        <v>12</v>
      </c>
      <c r="G38" s="6">
        <v>35</v>
      </c>
      <c r="H38" s="4" t="str">
        <f ca="1">INDEX(MapDataTbl[[Location]:[Value]],MATCH(MapDataTbl[[#This Row],[Position]],MapDataTbl[Rank],0),1)</f>
        <v>Aundh- Bopodi</v>
      </c>
      <c r="I38" s="4">
        <f ca="1">INDEX(MapDataTbl[[Location]:[Value]],MATCH(MapDataTbl[[#This Row],[Position]],MapDataTbl[Rank],0),3)</f>
        <v>0</v>
      </c>
      <c r="J38" s="62">
        <f ca="1">MapDataTbl[[#This Row],[Top Value]]/SUM(MapDataTbl[Top Value])</f>
        <v>0</v>
      </c>
      <c r="K38" s="59">
        <f ca="1">MATCH(MapDataTbl[[#This Row],[Value]],BinArray_1,1)</f>
        <v>1</v>
      </c>
      <c r="N38" s="28"/>
      <c r="O38" s="31"/>
      <c r="P38" s="32"/>
      <c r="Q38" s="32"/>
      <c r="R38" s="28"/>
      <c r="S38" s="28"/>
      <c r="T38" s="28"/>
      <c r="U38" s="28"/>
    </row>
    <row r="39" spans="2:21" x14ac:dyDescent="0.15">
      <c r="B39" s="79" t="s">
        <v>96</v>
      </c>
      <c r="C39" s="80">
        <v>36</v>
      </c>
      <c r="D39" s="4">
        <f ca="1">OFFSET(DataEntry!$B$3,ROWS($D$4:D39),Calculation!$V$5-1)</f>
        <v>0</v>
      </c>
      <c r="E39" s="4">
        <f ca="1">MapDataTbl[[#This Row],[Value]]+ROWS($E$4:E39)*0.000001</f>
        <v>3.6000000000000001E-5</v>
      </c>
      <c r="F39" s="4">
        <f ca="1">RANK(MapDataTbl[[#This Row],[Value+]],MapDataTbl[Value+],0)</f>
        <v>11</v>
      </c>
      <c r="G39" s="6">
        <v>36</v>
      </c>
      <c r="H39" s="4" t="str">
        <f ca="1">INDEX(MapDataTbl[[Location]:[Value]],MATCH(MapDataTbl[[#This Row],[Position]],MapDataTbl[Rank],0),1)</f>
        <v>Pune University- Wakadewadi</v>
      </c>
      <c r="I39" s="4">
        <f ca="1">INDEX(MapDataTbl[[Location]:[Value]],MATCH(MapDataTbl[[#This Row],[Position]],MapDataTbl[Rank],0),3)</f>
        <v>0</v>
      </c>
      <c r="J39" s="62">
        <f ca="1">MapDataTbl[[#This Row],[Top Value]]/SUM(MapDataTbl[Top Value])</f>
        <v>0</v>
      </c>
      <c r="K39" s="59">
        <f ca="1">MATCH(MapDataTbl[[#This Row],[Value]],BinArray_1,1)</f>
        <v>1</v>
      </c>
      <c r="N39" s="28"/>
      <c r="O39" s="28"/>
      <c r="P39" s="28"/>
      <c r="Q39" s="28"/>
      <c r="R39" s="28"/>
      <c r="S39" s="28"/>
      <c r="T39" s="28"/>
      <c r="U39" s="28"/>
    </row>
    <row r="40" spans="2:21" x14ac:dyDescent="0.15">
      <c r="B40" s="79" t="s">
        <v>97</v>
      </c>
      <c r="C40" s="80">
        <v>37</v>
      </c>
      <c r="D40" s="4">
        <f ca="1">OFFSET(DataEntry!$B$3,ROWS($D$4:D40),Calculation!$V$5-1)</f>
        <v>1</v>
      </c>
      <c r="E40" s="4">
        <f ca="1">MapDataTbl[[#This Row],[Value]]+ROWS($E$4:E40)*0.000001</f>
        <v>1.0000370000000001</v>
      </c>
      <c r="F40" s="4">
        <f ca="1">RANK(MapDataTbl[[#This Row],[Value+]],MapDataTbl[Value+],0)</f>
        <v>4</v>
      </c>
      <c r="G40" s="6">
        <v>37</v>
      </c>
      <c r="H40" s="4" t="str">
        <f ca="1">INDEX(MapDataTbl[[Location]:[Value]],MATCH(MapDataTbl[[#This Row],[Position]],MapDataTbl[Rank],0),1)</f>
        <v>Vadgaon Sheri- Kalyani Nagar</v>
      </c>
      <c r="I40" s="4">
        <f ca="1">INDEX(MapDataTbl[[Location]:[Value]],MATCH(MapDataTbl[[#This Row],[Position]],MapDataTbl[Rank],0),3)</f>
        <v>0</v>
      </c>
      <c r="J40" s="62">
        <f ca="1">MapDataTbl[[#This Row],[Top Value]]/SUM(MapDataTbl[Top Value])</f>
        <v>0</v>
      </c>
      <c r="K40" s="59">
        <f ca="1">MATCH(MapDataTbl[[#This Row],[Value]],BinArray_1,1)</f>
        <v>3</v>
      </c>
    </row>
    <row r="41" spans="2:21" x14ac:dyDescent="0.15">
      <c r="B41" s="79" t="s">
        <v>98</v>
      </c>
      <c r="C41" s="80">
        <v>38</v>
      </c>
      <c r="D41" s="4">
        <f ca="1">OFFSET(DataEntry!$B$3,ROWS($D$4:D41),Calculation!$V$5-1)</f>
        <v>0</v>
      </c>
      <c r="E41" s="4">
        <f ca="1">MapDataTbl[[#This Row],[Value]]+ROWS($E$4:E41)*0.000001</f>
        <v>3.7999999999999995E-5</v>
      </c>
      <c r="F41" s="4">
        <f ca="1">RANK(MapDataTbl[[#This Row],[Value+]],MapDataTbl[Value+],0)</f>
        <v>10</v>
      </c>
      <c r="G41" s="6">
        <v>38</v>
      </c>
      <c r="H41" s="4" t="str">
        <f ca="1">INDEX(MapDataTbl[[Location]:[Value]],MATCH(MapDataTbl[[#This Row],[Position]],MapDataTbl[Rank],0),1)</f>
        <v>Kharadi-Chandan Nagar</v>
      </c>
      <c r="I41" s="4">
        <f ca="1">INDEX(MapDataTbl[[Location]:[Value]],MATCH(MapDataTbl[[#This Row],[Position]],MapDataTbl[Rank],0),3)</f>
        <v>0</v>
      </c>
      <c r="J41" s="62">
        <f ca="1">MapDataTbl[[#This Row],[Top Value]]/SUM(MapDataTbl[Top Value])</f>
        <v>0</v>
      </c>
      <c r="K41" s="59">
        <f ca="1">MATCH(MapDataTbl[[#This Row],[Value]],BinArray_1,1)</f>
        <v>1</v>
      </c>
    </row>
    <row r="42" spans="2:21" x14ac:dyDescent="0.15">
      <c r="B42" s="79" t="s">
        <v>99</v>
      </c>
      <c r="C42" s="80">
        <v>39</v>
      </c>
      <c r="D42" s="4">
        <f ca="1">OFFSET(DataEntry!$B$3,ROWS($D$4:D42),Calculation!$V$5-1)</f>
        <v>0</v>
      </c>
      <c r="E42" s="4">
        <f ca="1">MapDataTbl[[#This Row],[Value]]+ROWS($E$4:E42)*0.000001</f>
        <v>3.8999999999999999E-5</v>
      </c>
      <c r="F42" s="4">
        <f ca="1">RANK(MapDataTbl[[#This Row],[Value+]],MapDataTbl[Value+],0)</f>
        <v>9</v>
      </c>
      <c r="G42" s="6">
        <v>39</v>
      </c>
      <c r="H42" s="4" t="str">
        <f ca="1">INDEX(MapDataTbl[[Location]:[Value]],MATCH(MapDataTbl[[#This Row],[Position]],MapDataTbl[Rank],0),1)</f>
        <v>Viman Nagar- Somnath Nagar</v>
      </c>
      <c r="I42" s="4">
        <f ca="1">INDEX(MapDataTbl[[Location]:[Value]],MATCH(MapDataTbl[[#This Row],[Position]],MapDataTbl[Rank],0),3)</f>
        <v>0</v>
      </c>
      <c r="J42" s="62">
        <f ca="1">MapDataTbl[[#This Row],[Top Value]]/SUM(MapDataTbl[Top Value])</f>
        <v>0</v>
      </c>
      <c r="K42" s="59">
        <f ca="1">MATCH(MapDataTbl[[#This Row],[Value]],BinArray_1,1)</f>
        <v>1</v>
      </c>
    </row>
    <row r="43" spans="2:21" x14ac:dyDescent="0.15">
      <c r="B43" s="79" t="s">
        <v>100</v>
      </c>
      <c r="C43" s="80">
        <v>40</v>
      </c>
      <c r="D43" s="4">
        <f ca="1">OFFSET(DataEntry!$B$3,ROWS($D$4:D43),Calculation!$V$5-1)</f>
        <v>0</v>
      </c>
      <c r="E43" s="4">
        <f ca="1">MapDataTbl[[#This Row],[Value]]+ROWS($E$4:E43)*0.000001</f>
        <v>3.9999999999999996E-5</v>
      </c>
      <c r="F43" s="4">
        <f ca="1">RANK(MapDataTbl[[#This Row],[Value+]],MapDataTbl[Value+],0)</f>
        <v>8</v>
      </c>
      <c r="G43" s="6">
        <v>40</v>
      </c>
      <c r="H43" s="4" t="str">
        <f ca="1">INDEX(MapDataTbl[[Location]:[Value]],MATCH(MapDataTbl[[#This Row],[Position]],MapDataTbl[Rank],0),1)</f>
        <v>Phule Nagar- Nagpur Chawl</v>
      </c>
      <c r="I43" s="4">
        <f ca="1">INDEX(MapDataTbl[[Location]:[Value]],MATCH(MapDataTbl[[#This Row],[Position]],MapDataTbl[Rank],0),3)</f>
        <v>0</v>
      </c>
      <c r="J43" s="62">
        <f ca="1">MapDataTbl[[#This Row],[Top Value]]/SUM(MapDataTbl[Top Value])</f>
        <v>0</v>
      </c>
      <c r="K43" s="59">
        <f ca="1">MATCH(MapDataTbl[[#This Row],[Value]],BinArray_1,1)</f>
        <v>1</v>
      </c>
    </row>
    <row r="44" spans="2:21" x14ac:dyDescent="0.15">
      <c r="B44" s="79" t="s">
        <v>101</v>
      </c>
      <c r="C44" s="80">
        <v>41</v>
      </c>
      <c r="D44" s="4">
        <f ca="1">OFFSET(DataEntry!$B$3,ROWS($D$4:D44),Calculation!$V$5-1)</f>
        <v>1</v>
      </c>
      <c r="E44" s="4">
        <f ca="1">MapDataTbl[[#This Row],[Value]]+ROWS($E$4:E44)*0.000001</f>
        <v>1.000041</v>
      </c>
      <c r="F44" s="4">
        <f ca="1">RANK(MapDataTbl[[#This Row],[Value+]],MapDataTbl[Value+],0)</f>
        <v>3</v>
      </c>
      <c r="G44" s="6">
        <v>41</v>
      </c>
      <c r="H44" s="4" t="str">
        <f ca="1">INDEX(MapDataTbl[[Location]:[Value]],MATCH(MapDataTbl[[#This Row],[Position]],MapDataTbl[Rank],0),1)</f>
        <v>Kalas-Dhanori</v>
      </c>
      <c r="I44" s="4">
        <f ca="1">INDEX(MapDataTbl[[Location]:[Value]],MATCH(MapDataTbl[[#This Row],[Position]],MapDataTbl[Rank],0),3)</f>
        <v>0</v>
      </c>
      <c r="J44" s="62">
        <f ca="1">MapDataTbl[[#This Row],[Top Value]]/SUM(MapDataTbl[Top Value])</f>
        <v>0</v>
      </c>
      <c r="K44" s="59">
        <f ca="1">MATCH(MapDataTbl[[#This Row],[Value]],BinArray_1,1)</f>
        <v>3</v>
      </c>
    </row>
    <row r="45" spans="2:21" x14ac:dyDescent="0.15">
      <c r="B45" s="58"/>
      <c r="D45" s="4"/>
      <c r="E45" s="4"/>
      <c r="F45" s="4"/>
      <c r="G45" s="6"/>
      <c r="H45" s="4"/>
      <c r="I45" s="4"/>
      <c r="J45" s="62"/>
      <c r="K45" s="59"/>
    </row>
    <row r="46" spans="2:21" x14ac:dyDescent="0.15">
      <c r="B46" s="58"/>
      <c r="D46" s="4"/>
      <c r="E46" s="4"/>
      <c r="F46" s="4"/>
      <c r="G46" s="6"/>
      <c r="H46" s="4"/>
      <c r="I46" s="4"/>
      <c r="J46" s="62"/>
      <c r="K46" s="59"/>
    </row>
    <row r="47" spans="2:21" x14ac:dyDescent="0.15">
      <c r="B47" s="58"/>
      <c r="D47" s="4"/>
      <c r="E47" s="4"/>
      <c r="F47" s="4"/>
      <c r="G47" s="6"/>
      <c r="H47" s="4"/>
      <c r="I47" s="4"/>
      <c r="J47" s="62"/>
      <c r="K47" s="59"/>
    </row>
    <row r="48" spans="2:21" x14ac:dyDescent="0.15">
      <c r="B48" s="58"/>
      <c r="D48" s="4"/>
      <c r="E48" s="4"/>
      <c r="F48" s="4"/>
      <c r="G48" s="6"/>
      <c r="H48" s="4"/>
      <c r="I48" s="4"/>
      <c r="J48" s="62"/>
      <c r="K48" s="59"/>
    </row>
    <row r="49" spans="2:11" x14ac:dyDescent="0.15">
      <c r="B49" s="58"/>
      <c r="D49" s="4"/>
      <c r="E49" s="4"/>
      <c r="F49" s="4"/>
      <c r="G49" s="6"/>
      <c r="H49" s="4"/>
      <c r="I49" s="4"/>
      <c r="J49" s="62"/>
      <c r="K49" s="59"/>
    </row>
    <row r="50" spans="2:11" x14ac:dyDescent="0.15">
      <c r="B50" s="58"/>
      <c r="D50" s="4"/>
      <c r="E50" s="4"/>
      <c r="F50" s="4"/>
      <c r="G50" s="6"/>
      <c r="H50" s="4"/>
      <c r="I50" s="4"/>
      <c r="J50" s="62"/>
      <c r="K50" s="59"/>
    </row>
    <row r="51" spans="2:11" x14ac:dyDescent="0.15">
      <c r="B51" s="58"/>
      <c r="D51" s="4"/>
      <c r="E51" s="4"/>
      <c r="F51" s="4"/>
      <c r="G51" s="6"/>
      <c r="H51" s="4"/>
      <c r="I51" s="4"/>
      <c r="J51" s="62"/>
      <c r="K51" s="59"/>
    </row>
    <row r="52" spans="2:11" x14ac:dyDescent="0.15">
      <c r="B52" s="58"/>
      <c r="D52" s="4"/>
      <c r="E52" s="4"/>
      <c r="F52" s="4"/>
      <c r="G52" s="6"/>
      <c r="H52" s="4"/>
      <c r="I52" s="4"/>
      <c r="J52" s="62"/>
      <c r="K52" s="59"/>
    </row>
    <row r="53" spans="2:11" x14ac:dyDescent="0.15">
      <c r="B53" s="58"/>
      <c r="D53" s="4"/>
      <c r="E53" s="4"/>
      <c r="F53" s="4"/>
      <c r="G53" s="6"/>
      <c r="H53" s="4"/>
      <c r="I53" s="4"/>
      <c r="J53" s="62"/>
      <c r="K53" s="59"/>
    </row>
    <row r="54" spans="2:11" x14ac:dyDescent="0.15">
      <c r="B54" s="58"/>
      <c r="D54" s="4"/>
      <c r="E54" s="4"/>
      <c r="F54" s="4"/>
      <c r="G54" s="6"/>
      <c r="H54" s="4"/>
      <c r="I54" s="4"/>
      <c r="J54" s="62"/>
      <c r="K54" s="59"/>
    </row>
    <row r="55" spans="2:11" x14ac:dyDescent="0.15">
      <c r="B55" s="58"/>
      <c r="D55" s="4"/>
      <c r="E55" s="4"/>
      <c r="F55" s="4"/>
      <c r="G55" s="6"/>
      <c r="H55" s="4"/>
      <c r="I55" s="4"/>
      <c r="J55" s="62"/>
      <c r="K55" s="59"/>
    </row>
    <row r="56" spans="2:11" x14ac:dyDescent="0.15">
      <c r="B56" s="58"/>
      <c r="D56" s="4"/>
      <c r="E56" s="4"/>
      <c r="F56" s="4"/>
      <c r="G56" s="6"/>
      <c r="H56" s="4"/>
      <c r="I56" s="4"/>
      <c r="J56" s="62"/>
      <c r="K56" s="59"/>
    </row>
    <row r="57" spans="2:11" x14ac:dyDescent="0.15">
      <c r="B57" s="58"/>
      <c r="D57" s="4"/>
      <c r="E57" s="4"/>
      <c r="F57" s="4"/>
      <c r="G57" s="6"/>
      <c r="H57" s="4"/>
      <c r="I57" s="4"/>
      <c r="J57" s="62"/>
      <c r="K57" s="59"/>
    </row>
    <row r="58" spans="2:11" x14ac:dyDescent="0.15">
      <c r="B58" s="58"/>
      <c r="D58" s="4"/>
      <c r="E58" s="4"/>
      <c r="F58" s="4"/>
      <c r="G58" s="6"/>
      <c r="H58" s="4"/>
      <c r="I58" s="4"/>
      <c r="J58" s="62"/>
      <c r="K58" s="59"/>
    </row>
    <row r="59" spans="2:11" x14ac:dyDescent="0.15">
      <c r="B59" s="58"/>
      <c r="D59" s="4"/>
      <c r="E59" s="4"/>
      <c r="F59" s="4"/>
      <c r="G59" s="6"/>
      <c r="H59" s="4"/>
      <c r="I59" s="4"/>
      <c r="J59" s="62"/>
      <c r="K59" s="59"/>
    </row>
    <row r="60" spans="2:11" x14ac:dyDescent="0.15">
      <c r="B60" s="58"/>
      <c r="D60" s="4"/>
      <c r="E60" s="4"/>
      <c r="F60" s="4"/>
      <c r="G60" s="6"/>
      <c r="H60" s="4"/>
      <c r="I60" s="4"/>
      <c r="J60" s="62"/>
      <c r="K60" s="59"/>
    </row>
    <row r="61" spans="2:11" x14ac:dyDescent="0.15">
      <c r="B61" s="58"/>
      <c r="D61" s="4"/>
      <c r="E61" s="4"/>
      <c r="F61" s="4"/>
      <c r="G61" s="6"/>
      <c r="H61" s="4"/>
      <c r="I61" s="4"/>
      <c r="J61" s="62"/>
      <c r="K61" s="59"/>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K59"/>
  <sheetViews>
    <sheetView workbookViewId="0">
      <selection activeCell="A8" sqref="A8:D8"/>
    </sheetView>
  </sheetViews>
  <sheetFormatPr baseColWidth="10" defaultColWidth="9" defaultRowHeight="14" x14ac:dyDescent="0.15"/>
  <cols>
    <col min="1" max="1" width="10.6640625" customWidth="1"/>
    <col min="2" max="2" width="10.83203125" customWidth="1"/>
    <col min="3" max="3" width="11.1640625" customWidth="1"/>
    <col min="4" max="4" width="15.6640625" customWidth="1"/>
    <col min="5" max="5" width="3.1640625" customWidth="1"/>
    <col min="6" max="6" width="16.33203125" bestFit="1" customWidth="1"/>
    <col min="7" max="7" width="11" style="58" bestFit="1" customWidth="1"/>
  </cols>
  <sheetData>
    <row r="1" spans="1:11" ht="15" thickBot="1" x14ac:dyDescent="0.2">
      <c r="A1" s="1" t="s">
        <v>0</v>
      </c>
      <c r="B1" s="1" t="s">
        <v>1</v>
      </c>
      <c r="C1" s="1" t="s">
        <v>2</v>
      </c>
      <c r="D1" s="1" t="s">
        <v>3</v>
      </c>
      <c r="F1" t="s">
        <v>7</v>
      </c>
      <c r="G1" s="58" t="s">
        <v>6</v>
      </c>
    </row>
    <row r="2" spans="1:11" x14ac:dyDescent="0.15">
      <c r="A2" s="38">
        <v>255</v>
      </c>
      <c r="B2" s="38">
        <v>255</v>
      </c>
      <c r="C2" s="38">
        <v>255</v>
      </c>
      <c r="D2" s="26" t="s">
        <v>4</v>
      </c>
      <c r="F2" s="79" t="s">
        <v>61</v>
      </c>
      <c r="G2" s="80">
        <v>1</v>
      </c>
    </row>
    <row r="3" spans="1:11" x14ac:dyDescent="0.15">
      <c r="A3" s="38">
        <v>226</v>
      </c>
      <c r="B3" s="38">
        <v>239</v>
      </c>
      <c r="C3" s="38">
        <v>218</v>
      </c>
      <c r="D3" s="88" t="s">
        <v>4</v>
      </c>
      <c r="F3" s="79" t="s">
        <v>62</v>
      </c>
      <c r="G3" s="80">
        <v>2</v>
      </c>
    </row>
    <row r="4" spans="1:11" x14ac:dyDescent="0.15">
      <c r="A4" s="38">
        <v>198</v>
      </c>
      <c r="B4" s="38">
        <v>224</v>
      </c>
      <c r="C4" s="38">
        <v>180</v>
      </c>
      <c r="D4" s="89" t="s">
        <v>4</v>
      </c>
      <c r="F4" s="79" t="s">
        <v>63</v>
      </c>
      <c r="G4" s="80">
        <v>3</v>
      </c>
    </row>
    <row r="5" spans="1:11" x14ac:dyDescent="0.15">
      <c r="A5" s="38">
        <v>169</v>
      </c>
      <c r="B5" s="38">
        <v>208</v>
      </c>
      <c r="C5" s="38">
        <v>142</v>
      </c>
      <c r="D5" s="90" t="s">
        <v>4</v>
      </c>
      <c r="F5" s="79" t="s">
        <v>64</v>
      </c>
      <c r="G5" s="80">
        <v>4</v>
      </c>
      <c r="J5" s="2"/>
      <c r="K5" s="2"/>
    </row>
    <row r="6" spans="1:11" x14ac:dyDescent="0.15">
      <c r="A6" s="38">
        <v>84</v>
      </c>
      <c r="B6" s="38">
        <v>130</v>
      </c>
      <c r="C6" s="38">
        <v>53</v>
      </c>
      <c r="D6" s="91" t="s">
        <v>4</v>
      </c>
      <c r="F6" s="79" t="s">
        <v>65</v>
      </c>
      <c r="G6" s="80">
        <v>5</v>
      </c>
      <c r="I6" s="2"/>
    </row>
    <row r="7" spans="1:11" ht="15" thickBot="1" x14ac:dyDescent="0.2">
      <c r="A7" s="38">
        <v>55</v>
      </c>
      <c r="B7" s="38">
        <v>86</v>
      </c>
      <c r="C7" s="38">
        <v>35</v>
      </c>
      <c r="D7" s="92" t="s">
        <v>4</v>
      </c>
      <c r="F7" s="79" t="s">
        <v>66</v>
      </c>
      <c r="G7" s="80">
        <v>6</v>
      </c>
      <c r="I7" s="2"/>
    </row>
    <row r="8" spans="1:11" x14ac:dyDescent="0.15">
      <c r="A8" s="85" t="s">
        <v>5</v>
      </c>
      <c r="B8" s="85"/>
      <c r="C8" s="85"/>
      <c r="D8" s="85"/>
      <c r="F8" s="79" t="s">
        <v>67</v>
      </c>
      <c r="G8" s="80">
        <v>7</v>
      </c>
      <c r="I8" s="2"/>
    </row>
    <row r="9" spans="1:11" x14ac:dyDescent="0.15">
      <c r="F9" s="79" t="s">
        <v>68</v>
      </c>
      <c r="G9" s="80">
        <v>8</v>
      </c>
      <c r="I9" s="2"/>
    </row>
    <row r="10" spans="1:11" x14ac:dyDescent="0.15">
      <c r="F10" s="79" t="s">
        <v>69</v>
      </c>
      <c r="G10" s="80">
        <v>9</v>
      </c>
      <c r="I10" s="2"/>
    </row>
    <row r="11" spans="1:11" x14ac:dyDescent="0.15">
      <c r="F11" s="79" t="s">
        <v>70</v>
      </c>
      <c r="G11" s="80">
        <v>10</v>
      </c>
      <c r="I11" s="2"/>
    </row>
    <row r="12" spans="1:11" x14ac:dyDescent="0.15">
      <c r="F12" s="79" t="s">
        <v>71</v>
      </c>
      <c r="G12" s="80">
        <v>11</v>
      </c>
    </row>
    <row r="13" spans="1:11" x14ac:dyDescent="0.15">
      <c r="F13" s="79" t="s">
        <v>72</v>
      </c>
      <c r="G13" s="80">
        <v>12</v>
      </c>
    </row>
    <row r="14" spans="1:11" x14ac:dyDescent="0.15">
      <c r="F14" s="79" t="s">
        <v>73</v>
      </c>
      <c r="G14" s="80">
        <v>13</v>
      </c>
    </row>
    <row r="15" spans="1:11" x14ac:dyDescent="0.15">
      <c r="F15" s="79" t="s">
        <v>74</v>
      </c>
      <c r="G15" s="80">
        <v>14</v>
      </c>
    </row>
    <row r="16" spans="1:11" x14ac:dyDescent="0.15">
      <c r="F16" s="79" t="s">
        <v>75</v>
      </c>
      <c r="G16" s="80">
        <v>15</v>
      </c>
    </row>
    <row r="17" spans="6:7" x14ac:dyDescent="0.15">
      <c r="F17" s="79" t="s">
        <v>76</v>
      </c>
      <c r="G17" s="80">
        <v>16</v>
      </c>
    </row>
    <row r="18" spans="6:7" x14ac:dyDescent="0.15">
      <c r="F18" s="79" t="s">
        <v>77</v>
      </c>
      <c r="G18" s="80">
        <v>17</v>
      </c>
    </row>
    <row r="19" spans="6:7" x14ac:dyDescent="0.15">
      <c r="F19" s="79" t="s">
        <v>78</v>
      </c>
      <c r="G19" s="80">
        <v>18</v>
      </c>
    </row>
    <row r="20" spans="6:7" x14ac:dyDescent="0.15">
      <c r="F20" s="79" t="s">
        <v>79</v>
      </c>
      <c r="G20" s="80">
        <v>19</v>
      </c>
    </row>
    <row r="21" spans="6:7" x14ac:dyDescent="0.15">
      <c r="F21" s="79" t="s">
        <v>80</v>
      </c>
      <c r="G21" s="80">
        <v>20</v>
      </c>
    </row>
    <row r="22" spans="6:7" x14ac:dyDescent="0.15">
      <c r="F22" s="79" t="s">
        <v>81</v>
      </c>
      <c r="G22" s="80">
        <v>21</v>
      </c>
    </row>
    <row r="23" spans="6:7" x14ac:dyDescent="0.15">
      <c r="F23" s="79" t="s">
        <v>82</v>
      </c>
      <c r="G23" s="80">
        <v>22</v>
      </c>
    </row>
    <row r="24" spans="6:7" x14ac:dyDescent="0.15">
      <c r="F24" s="79" t="s">
        <v>83</v>
      </c>
      <c r="G24" s="80">
        <v>23</v>
      </c>
    </row>
    <row r="25" spans="6:7" x14ac:dyDescent="0.15">
      <c r="F25" s="79" t="s">
        <v>84</v>
      </c>
      <c r="G25" s="80">
        <v>24</v>
      </c>
    </row>
    <row r="26" spans="6:7" x14ac:dyDescent="0.15">
      <c r="F26" s="79" t="s">
        <v>85</v>
      </c>
      <c r="G26" s="80">
        <v>25</v>
      </c>
    </row>
    <row r="27" spans="6:7" x14ac:dyDescent="0.15">
      <c r="F27" s="79" t="s">
        <v>86</v>
      </c>
      <c r="G27" s="80">
        <v>26</v>
      </c>
    </row>
    <row r="28" spans="6:7" x14ac:dyDescent="0.15">
      <c r="F28" s="79" t="s">
        <v>87</v>
      </c>
      <c r="G28" s="80">
        <v>27</v>
      </c>
    </row>
    <row r="29" spans="6:7" x14ac:dyDescent="0.15">
      <c r="F29" s="79" t="s">
        <v>88</v>
      </c>
      <c r="G29" s="80">
        <v>28</v>
      </c>
    </row>
    <row r="30" spans="6:7" x14ac:dyDescent="0.15">
      <c r="F30" s="79" t="s">
        <v>89</v>
      </c>
      <c r="G30" s="80">
        <v>29</v>
      </c>
    </row>
    <row r="31" spans="6:7" x14ac:dyDescent="0.15">
      <c r="F31" s="79" t="s">
        <v>90</v>
      </c>
      <c r="G31" s="80">
        <v>30</v>
      </c>
    </row>
    <row r="32" spans="6:7" x14ac:dyDescent="0.15">
      <c r="F32" s="79" t="s">
        <v>91</v>
      </c>
      <c r="G32" s="80">
        <v>31</v>
      </c>
    </row>
    <row r="33" spans="6:7" x14ac:dyDescent="0.15">
      <c r="F33" s="79" t="s">
        <v>92</v>
      </c>
      <c r="G33" s="80">
        <v>32</v>
      </c>
    </row>
    <row r="34" spans="6:7" x14ac:dyDescent="0.15">
      <c r="F34" s="79" t="s">
        <v>93</v>
      </c>
      <c r="G34" s="80">
        <v>33</v>
      </c>
    </row>
    <row r="35" spans="6:7" x14ac:dyDescent="0.15">
      <c r="F35" s="79" t="s">
        <v>94</v>
      </c>
      <c r="G35" s="80">
        <v>34</v>
      </c>
    </row>
    <row r="36" spans="6:7" x14ac:dyDescent="0.15">
      <c r="F36" s="79" t="s">
        <v>95</v>
      </c>
      <c r="G36" s="80">
        <v>35</v>
      </c>
    </row>
    <row r="37" spans="6:7" x14ac:dyDescent="0.15">
      <c r="F37" s="79" t="s">
        <v>96</v>
      </c>
      <c r="G37" s="80">
        <v>36</v>
      </c>
    </row>
    <row r="38" spans="6:7" x14ac:dyDescent="0.15">
      <c r="F38" s="79" t="s">
        <v>97</v>
      </c>
      <c r="G38" s="80">
        <v>37</v>
      </c>
    </row>
    <row r="39" spans="6:7" x14ac:dyDescent="0.15">
      <c r="F39" s="79" t="s">
        <v>98</v>
      </c>
      <c r="G39" s="80">
        <v>38</v>
      </c>
    </row>
    <row r="40" spans="6:7" x14ac:dyDescent="0.15">
      <c r="F40" s="79" t="s">
        <v>99</v>
      </c>
      <c r="G40" s="80">
        <v>39</v>
      </c>
    </row>
    <row r="41" spans="6:7" x14ac:dyDescent="0.15">
      <c r="F41" s="79" t="s">
        <v>100</v>
      </c>
      <c r="G41" s="80">
        <v>40</v>
      </c>
    </row>
    <row r="42" spans="6:7" x14ac:dyDescent="0.15">
      <c r="F42" s="79" t="s">
        <v>101</v>
      </c>
      <c r="G42" s="80">
        <v>41</v>
      </c>
    </row>
    <row r="43" spans="6:7" x14ac:dyDescent="0.15">
      <c r="F43" s="58"/>
      <c r="G43" s="61"/>
    </row>
    <row r="44" spans="6:7" x14ac:dyDescent="0.15">
      <c r="F44" s="58"/>
      <c r="G44" s="61"/>
    </row>
    <row r="45" spans="6:7" x14ac:dyDescent="0.15">
      <c r="F45" s="58"/>
      <c r="G45" s="61"/>
    </row>
    <row r="46" spans="6:7" x14ac:dyDescent="0.15">
      <c r="F46" s="58"/>
      <c r="G46" s="61"/>
    </row>
    <row r="47" spans="6:7" x14ac:dyDescent="0.15">
      <c r="F47" s="58"/>
      <c r="G47" s="61"/>
    </row>
    <row r="48" spans="6:7" x14ac:dyDescent="0.15">
      <c r="F48" s="58"/>
      <c r="G48" s="61"/>
    </row>
    <row r="49" spans="6:7" x14ac:dyDescent="0.15">
      <c r="F49" s="58"/>
      <c r="G49" s="61"/>
    </row>
    <row r="50" spans="6:7" x14ac:dyDescent="0.15">
      <c r="F50" s="58"/>
      <c r="G50" s="61"/>
    </row>
    <row r="51" spans="6:7" x14ac:dyDescent="0.15">
      <c r="F51" s="58"/>
      <c r="G51" s="61"/>
    </row>
    <row r="52" spans="6:7" x14ac:dyDescent="0.15">
      <c r="F52" s="58"/>
      <c r="G52" s="61"/>
    </row>
    <row r="53" spans="6:7" x14ac:dyDescent="0.15">
      <c r="F53" s="58"/>
      <c r="G53" s="61"/>
    </row>
    <row r="54" spans="6:7" x14ac:dyDescent="0.15">
      <c r="F54" s="58"/>
      <c r="G54" s="61"/>
    </row>
    <row r="55" spans="6:7" x14ac:dyDescent="0.15">
      <c r="F55" s="58"/>
      <c r="G55" s="61"/>
    </row>
    <row r="56" spans="6:7" x14ac:dyDescent="0.15">
      <c r="F56" s="58"/>
      <c r="G56" s="61"/>
    </row>
    <row r="57" spans="6:7" x14ac:dyDescent="0.15">
      <c r="F57" s="58"/>
      <c r="G57" s="61"/>
    </row>
    <row r="58" spans="6:7" x14ac:dyDescent="0.15">
      <c r="F58" s="58"/>
      <c r="G58" s="61"/>
    </row>
    <row r="59" spans="6:7" x14ac:dyDescent="0.15">
      <c r="F59" s="58"/>
      <c r="G59" s="61"/>
    </row>
  </sheetData>
  <mergeCells count="1">
    <mergeCell ref="A8:D8"/>
  </mergeCells>
  <pageMargins left="0.7" right="0.7" top="0.75" bottom="0.75" header="0.3" footer="0.3"/>
  <pageSetup paperSize="9"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How to</vt:lpstr>
      <vt:lpstr>Dashboard</vt:lpstr>
      <vt:lpstr>DataEntry</vt:lpstr>
      <vt:lpstr>Bubble plot</vt:lpstr>
      <vt:lpstr>Calculation</vt:lpstr>
      <vt:lpstr>Vocabulary</vt:lpstr>
      <vt:lpstr>BinArray_1</vt:lpstr>
      <vt:lpstr>DataEntryColumnCount</vt:lpstr>
      <vt:lpstr>KeyOptionValue</vt:lpstr>
      <vt:lpstr>Map1Data</vt:lpstr>
      <vt:lpstr>Dashboard!Print_Area</vt:lpstr>
      <vt:lpstr>'How to'!Print_Area</vt:lpstr>
      <vt:lpstr>SelectedColor</vt:lpstr>
      <vt:lpstr>SelectedDataColumn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Raphaël Bréchard</dc:creator>
  <cp:lastModifiedBy>Mrunmayee Gokhale</cp:lastModifiedBy>
  <cp:lastPrinted>2015-11-25T09:50:55Z</cp:lastPrinted>
  <dcterms:created xsi:type="dcterms:W3CDTF">2014-11-04T17:36:20Z</dcterms:created>
  <dcterms:modified xsi:type="dcterms:W3CDTF">2019-08-11T13:45:23Z</dcterms:modified>
</cp:coreProperties>
</file>